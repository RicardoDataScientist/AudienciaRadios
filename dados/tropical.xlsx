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Projetos\AudienciaRadios\dados\"/>
    </mc:Choice>
  </mc:AlternateContent>
  <xr:revisionPtr revIDLastSave="0" documentId="13_ncr:1_{E2E60BEF-A5D5-43C5-BC22-6FD803375E7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2" i="1"/>
</calcChain>
</file>

<file path=xl/sharedStrings.xml><?xml version="1.0" encoding="utf-8"?>
<sst xmlns="http://schemas.openxmlformats.org/spreadsheetml/2006/main" count="212" uniqueCount="36">
  <si>
    <t>data</t>
  </si>
  <si>
    <t>metrica</t>
  </si>
  <si>
    <t>previsto</t>
  </si>
  <si>
    <t>original</t>
  </si>
  <si>
    <t>baseline_prophet</t>
  </si>
  <si>
    <t>baseline_avg_hist</t>
  </si>
  <si>
    <t>baseline_avg_recent_24m</t>
  </si>
  <si>
    <t>baseline_ano_anterior</t>
  </si>
  <si>
    <t>yhat</t>
  </si>
  <si>
    <t>yhat_lower</t>
  </si>
  <si>
    <t>yhat_upper</t>
  </si>
  <si>
    <t>trend</t>
  </si>
  <si>
    <t>yearly</t>
  </si>
  <si>
    <t>mape_usado_%</t>
  </si>
  <si>
    <t>lower</t>
  </si>
  <si>
    <t>upper</t>
  </si>
  <si>
    <t>CLASSE AB</t>
  </si>
  <si>
    <t>CLASSE C</t>
  </si>
  <si>
    <t>CLASSE DE</t>
  </si>
  <si>
    <t>IDADE 10/19</t>
  </si>
  <si>
    <t>IDADE 20/29</t>
  </si>
  <si>
    <t>IDADE 30/39</t>
  </si>
  <si>
    <t>IDADE 40/49</t>
  </si>
  <si>
    <t>IDADE 50+</t>
  </si>
  <si>
    <t>TROPICAL FM</t>
  </si>
  <si>
    <t>SEXO FEMININO</t>
  </si>
  <si>
    <t>SEXO MASCULINO</t>
  </si>
  <si>
    <t>ZONA CARIACICA + VIANA</t>
  </si>
  <si>
    <t>ZONA GUARAPARI</t>
  </si>
  <si>
    <t>ZONA SERRA</t>
  </si>
  <si>
    <t>ZONA VILA VELHA</t>
  </si>
  <si>
    <t>ZONA VITORIA</t>
  </si>
  <si>
    <t>var ant</t>
  </si>
  <si>
    <t>var ant %</t>
  </si>
  <si>
    <t>var tend</t>
  </si>
  <si>
    <t>var tend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</si>
</sst>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3"/>
  <sheetViews>
    <sheetView tabSelected="1" topLeftCell="A158" workbookViewId="0">
      <selection activeCell="T2" sqref="T2:T193"/>
    </sheetView>
  </sheetViews>
  <sheetFormatPr defaultRowHeight="14.4" x14ac:dyDescent="0.3"/>
  <cols>
    <col min="1" max="1" width="21.5546875" customWidth="1"/>
    <col min="8" max="8" width="18.33203125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32</v>
      </c>
      <c r="R1" s="3" t="s">
        <v>33</v>
      </c>
      <c r="S1" s="3" t="s">
        <v>34</v>
      </c>
      <c r="T1" s="3" t="s">
        <v>35</v>
      </c>
    </row>
    <row r="2" spans="1:20" x14ac:dyDescent="0.3">
      <c r="A2" s="2">
        <v>45658</v>
      </c>
      <c r="B2" t="s">
        <v>16</v>
      </c>
      <c r="C2">
        <v>3971.5</v>
      </c>
      <c r="D2">
        <v>3997.48</v>
      </c>
      <c r="E2">
        <v>4885.0520024168</v>
      </c>
      <c r="F2">
        <v>4582.0860000000002</v>
      </c>
      <c r="G2">
        <v>3827.58</v>
      </c>
      <c r="H2">
        <v>3657.68</v>
      </c>
      <c r="I2">
        <v>4885.0520024168</v>
      </c>
      <c r="J2">
        <v>4037.8699219630998</v>
      </c>
      <c r="K2">
        <v>5814.3638040161004</v>
      </c>
      <c r="L2">
        <v>4715.8607304379002</v>
      </c>
      <c r="M2">
        <v>169.19127197890001</v>
      </c>
      <c r="N2">
        <v>8.41</v>
      </c>
      <c r="O2">
        <v>3637.49685</v>
      </c>
      <c r="P2">
        <v>4305.5031499999996</v>
      </c>
      <c r="Q2">
        <f>C2-H2</f>
        <v>313.82000000000016</v>
      </c>
      <c r="R2">
        <f>(C2-H2)/C2</f>
        <v>7.9018003273322465E-2</v>
      </c>
      <c r="S2">
        <f>C2-E2</f>
        <v>-913.55200241679995</v>
      </c>
      <c r="T2">
        <f>(C2-E2)/C2</f>
        <v>-0.23002694257001133</v>
      </c>
    </row>
    <row r="3" spans="1:20" x14ac:dyDescent="0.3">
      <c r="A3" s="2">
        <v>45689</v>
      </c>
      <c r="B3" t="s">
        <v>16</v>
      </c>
      <c r="C3">
        <v>4641.080078125</v>
      </c>
      <c r="D3">
        <v>6080.09</v>
      </c>
      <c r="E3">
        <v>5824.8763723005004</v>
      </c>
      <c r="F3">
        <v>4863.6099999999997</v>
      </c>
      <c r="G3">
        <v>4876.62</v>
      </c>
      <c r="H3">
        <v>3673.15</v>
      </c>
      <c r="I3">
        <v>5824.8763723005004</v>
      </c>
      <c r="J3">
        <v>4897.6387263138004</v>
      </c>
      <c r="K3">
        <v>6703.8984674619996</v>
      </c>
      <c r="L3">
        <v>4732.1237355318999</v>
      </c>
      <c r="M3">
        <v>1092.7526367687001</v>
      </c>
      <c r="N3">
        <v>8.41</v>
      </c>
      <c r="O3">
        <v>4250.765243554687</v>
      </c>
      <c r="P3">
        <v>5031.394912695313</v>
      </c>
      <c r="Q3">
        <f t="shared" ref="Q3:Q66" si="0">C3-H3</f>
        <v>967.93007812499991</v>
      </c>
      <c r="R3">
        <f t="shared" ref="R3:R66" si="1">(C3-H3)/C3</f>
        <v>0.20855707331730514</v>
      </c>
      <c r="S3">
        <f t="shared" ref="S3:S66" si="2">C3-E3</f>
        <v>-1183.7962941755004</v>
      </c>
      <c r="T3">
        <f t="shared" ref="T3:T66" si="3">(C3-E3)/C3</f>
        <v>-0.25506913784037855</v>
      </c>
    </row>
    <row r="4" spans="1:20" x14ac:dyDescent="0.3">
      <c r="A4" s="2">
        <v>45717</v>
      </c>
      <c r="B4" t="s">
        <v>16</v>
      </c>
      <c r="C4">
        <v>5054.419921875</v>
      </c>
      <c r="D4">
        <v>6808.78</v>
      </c>
      <c r="E4">
        <v>5604.7283417873996</v>
      </c>
      <c r="F4">
        <v>5322.6719999999996</v>
      </c>
      <c r="G4">
        <v>6186.1049999999996</v>
      </c>
      <c r="H4">
        <v>5563.43</v>
      </c>
      <c r="I4">
        <v>5604.7283417873996</v>
      </c>
      <c r="J4">
        <v>4676.9596554005002</v>
      </c>
      <c r="K4">
        <v>6567.6972002336997</v>
      </c>
      <c r="L4">
        <v>4746.8129014233</v>
      </c>
      <c r="M4">
        <v>857.91544036410005</v>
      </c>
      <c r="N4">
        <v>8.41</v>
      </c>
      <c r="O4">
        <v>4629.3432064453118</v>
      </c>
      <c r="P4">
        <v>5479.4966373046882</v>
      </c>
      <c r="Q4">
        <f t="shared" si="0"/>
        <v>-509.01007812500029</v>
      </c>
      <c r="R4">
        <f t="shared" si="1"/>
        <v>-0.10070593381488903</v>
      </c>
      <c r="S4">
        <f t="shared" si="2"/>
        <v>-550.30841991239959</v>
      </c>
      <c r="T4">
        <f t="shared" si="3"/>
        <v>-0.10887667198578464</v>
      </c>
    </row>
    <row r="5" spans="1:20" x14ac:dyDescent="0.3">
      <c r="A5" s="2">
        <v>45748</v>
      </c>
      <c r="B5" t="s">
        <v>16</v>
      </c>
      <c r="C5">
        <v>4783.1401367188</v>
      </c>
      <c r="D5">
        <v>4874.99</v>
      </c>
      <c r="E5">
        <v>5305.8750628673997</v>
      </c>
      <c r="F5">
        <v>4843.2179999999998</v>
      </c>
      <c r="G5">
        <v>5199.04</v>
      </c>
      <c r="H5">
        <v>5523.09</v>
      </c>
      <c r="I5">
        <v>5305.8750628673997</v>
      </c>
      <c r="J5">
        <v>4390.0530395999003</v>
      </c>
      <c r="K5">
        <v>6273.6903076642002</v>
      </c>
      <c r="L5">
        <v>4763.0759065172997</v>
      </c>
      <c r="M5">
        <v>542.79915635019995</v>
      </c>
      <c r="N5">
        <v>8.41</v>
      </c>
      <c r="O5">
        <v>4380.8780512207486</v>
      </c>
      <c r="P5">
        <v>5185.4022222168514</v>
      </c>
      <c r="Q5">
        <f t="shared" si="0"/>
        <v>-739.94986328120012</v>
      </c>
      <c r="R5">
        <f t="shared" si="1"/>
        <v>-0.15469959945367615</v>
      </c>
      <c r="S5">
        <f t="shared" si="2"/>
        <v>-522.7349261485997</v>
      </c>
      <c r="T5">
        <f t="shared" si="3"/>
        <v>-0.10928697700820285</v>
      </c>
    </row>
    <row r="6" spans="1:20" x14ac:dyDescent="0.3">
      <c r="A6" s="2">
        <v>45778</v>
      </c>
      <c r="B6" t="s">
        <v>16</v>
      </c>
      <c r="C6">
        <v>5138.3198242188</v>
      </c>
      <c r="D6">
        <v>5045.2299999999996</v>
      </c>
      <c r="E6">
        <v>4890.1102875411998</v>
      </c>
      <c r="F6">
        <v>4665.0839999999998</v>
      </c>
      <c r="G6">
        <v>4872.76</v>
      </c>
      <c r="H6">
        <v>4700.29</v>
      </c>
      <c r="I6">
        <v>4890.1102875411998</v>
      </c>
      <c r="J6">
        <v>4000.9422391874</v>
      </c>
      <c r="K6">
        <v>5821.8569553778998</v>
      </c>
      <c r="L6">
        <v>4778.8142985436998</v>
      </c>
      <c r="M6">
        <v>111.2959889975</v>
      </c>
      <c r="N6">
        <v>8.41</v>
      </c>
      <c r="O6">
        <v>4706.1871270019983</v>
      </c>
      <c r="P6">
        <v>5570.4525214356017</v>
      </c>
      <c r="Q6">
        <f t="shared" si="0"/>
        <v>438.02982421880006</v>
      </c>
      <c r="R6">
        <f t="shared" si="1"/>
        <v>8.5247676128333547E-2</v>
      </c>
      <c r="S6">
        <f t="shared" si="2"/>
        <v>248.20953667760023</v>
      </c>
      <c r="T6">
        <f t="shared" si="3"/>
        <v>4.830558337526928E-2</v>
      </c>
    </row>
    <row r="7" spans="1:20" x14ac:dyDescent="0.3">
      <c r="A7" s="2">
        <v>45809</v>
      </c>
      <c r="B7" t="s">
        <v>16</v>
      </c>
      <c r="C7">
        <v>5428.740234375</v>
      </c>
      <c r="D7">
        <v>5407.14</v>
      </c>
      <c r="E7">
        <v>5392.7248408539999</v>
      </c>
      <c r="F7">
        <v>4908.3339999999998</v>
      </c>
      <c r="G7">
        <v>5519.875</v>
      </c>
      <c r="H7">
        <v>5632.61</v>
      </c>
      <c r="I7">
        <v>5392.7248408539999</v>
      </c>
      <c r="J7">
        <v>4451.9564289719001</v>
      </c>
      <c r="K7">
        <v>6325.9680431310999</v>
      </c>
      <c r="L7">
        <v>4795.0773036377004</v>
      </c>
      <c r="M7">
        <v>597.64753721620002</v>
      </c>
      <c r="N7">
        <v>8.41</v>
      </c>
      <c r="O7">
        <v>4972.1831806640621</v>
      </c>
      <c r="P7">
        <v>5885.2972880859379</v>
      </c>
      <c r="Q7">
        <f t="shared" si="0"/>
        <v>-203.86976562499967</v>
      </c>
      <c r="R7">
        <f t="shared" si="1"/>
        <v>-3.7553789060321613E-2</v>
      </c>
      <c r="S7">
        <f t="shared" si="2"/>
        <v>36.015393521000078</v>
      </c>
      <c r="T7">
        <f t="shared" si="3"/>
        <v>6.6342082999199647E-3</v>
      </c>
    </row>
    <row r="8" spans="1:20" x14ac:dyDescent="0.3">
      <c r="A8" s="2">
        <v>45839</v>
      </c>
      <c r="B8" t="s">
        <v>16</v>
      </c>
      <c r="C8">
        <v>4864.3198242188</v>
      </c>
      <c r="D8">
        <v>4713.97</v>
      </c>
      <c r="E8">
        <v>4884.0882140872</v>
      </c>
      <c r="F8">
        <v>4515.9920000000002</v>
      </c>
      <c r="G8">
        <v>4655.6149999999998</v>
      </c>
      <c r="H8">
        <v>4597.26</v>
      </c>
      <c r="I8">
        <v>4884.0882140872</v>
      </c>
      <c r="J8">
        <v>3993.0714837248001</v>
      </c>
      <c r="K8">
        <v>5810.8893501111997</v>
      </c>
      <c r="L8">
        <v>4810.8156956641997</v>
      </c>
      <c r="M8">
        <v>73.272518422999994</v>
      </c>
      <c r="N8">
        <v>8.41</v>
      </c>
      <c r="O8">
        <v>4455.2305270019988</v>
      </c>
      <c r="P8">
        <v>5273.4091214356013</v>
      </c>
      <c r="Q8">
        <f t="shared" si="0"/>
        <v>267.0598242187998</v>
      </c>
      <c r="R8">
        <f t="shared" si="1"/>
        <v>5.4901781517149535E-2</v>
      </c>
      <c r="S8">
        <f t="shared" si="2"/>
        <v>-19.768389868399936</v>
      </c>
      <c r="T8">
        <f t="shared" si="3"/>
        <v>-4.0639576719392004E-3</v>
      </c>
    </row>
    <row r="9" spans="1:20" x14ac:dyDescent="0.3">
      <c r="A9" s="2">
        <v>45870</v>
      </c>
      <c r="B9" t="s">
        <v>16</v>
      </c>
      <c r="C9">
        <v>4738.7998046875</v>
      </c>
      <c r="D9">
        <v>5821.68</v>
      </c>
      <c r="E9">
        <v>4947.9138183396999</v>
      </c>
      <c r="F9">
        <v>4593.37</v>
      </c>
      <c r="G9">
        <v>4893.9549999999999</v>
      </c>
      <c r="H9">
        <v>3966.23</v>
      </c>
      <c r="I9">
        <v>4947.9138183396999</v>
      </c>
      <c r="J9">
        <v>4063.6387467291001</v>
      </c>
      <c r="K9">
        <v>5914.0132562427998</v>
      </c>
      <c r="L9">
        <v>4827.0787007582003</v>
      </c>
      <c r="M9">
        <v>120.8351175815</v>
      </c>
      <c r="N9">
        <v>8.41</v>
      </c>
      <c r="O9">
        <v>4340.2667411132807</v>
      </c>
      <c r="P9">
        <v>5137.3328682617193</v>
      </c>
      <c r="Q9">
        <f t="shared" si="0"/>
        <v>772.56980468749998</v>
      </c>
      <c r="R9">
        <f t="shared" si="1"/>
        <v>0.16303069058188396</v>
      </c>
      <c r="S9">
        <f t="shared" si="2"/>
        <v>-209.1140136521999</v>
      </c>
      <c r="T9">
        <f t="shared" si="3"/>
        <v>-4.4128053994884876E-2</v>
      </c>
    </row>
    <row r="10" spans="1:20" x14ac:dyDescent="0.3">
      <c r="A10" s="2">
        <v>45901</v>
      </c>
      <c r="B10" t="s">
        <v>16</v>
      </c>
      <c r="C10">
        <v>4738.7998046875</v>
      </c>
      <c r="D10">
        <v>4997.6000000000004</v>
      </c>
      <c r="E10">
        <v>5241.5954160663996</v>
      </c>
      <c r="F10">
        <v>4835.6859999999997</v>
      </c>
      <c r="G10">
        <v>4540.62</v>
      </c>
      <c r="H10">
        <v>4083.64</v>
      </c>
      <c r="I10">
        <v>5241.5954160663996</v>
      </c>
      <c r="J10">
        <v>4312.2209824525999</v>
      </c>
      <c r="K10">
        <v>6165.7028115857001</v>
      </c>
      <c r="L10">
        <v>4843.3417058522</v>
      </c>
      <c r="M10">
        <v>398.25371021410001</v>
      </c>
      <c r="N10">
        <v>8.41</v>
      </c>
      <c r="O10">
        <v>4340.2667411132807</v>
      </c>
      <c r="P10">
        <v>5137.3328682617193</v>
      </c>
      <c r="Q10">
        <f t="shared" si="0"/>
        <v>655.15980468750013</v>
      </c>
      <c r="R10">
        <f t="shared" si="1"/>
        <v>0.13825437488189157</v>
      </c>
      <c r="S10">
        <f t="shared" si="2"/>
        <v>-502.79561137889959</v>
      </c>
      <c r="T10">
        <f t="shared" si="3"/>
        <v>-0.10610188910735309</v>
      </c>
    </row>
    <row r="11" spans="1:20" x14ac:dyDescent="0.3">
      <c r="A11" s="2">
        <v>45931</v>
      </c>
      <c r="B11" t="s">
        <v>16</v>
      </c>
      <c r="C11">
        <v>5914.0961914062</v>
      </c>
      <c r="E11">
        <v>5844.6631274102001</v>
      </c>
      <c r="F11">
        <v>5293.6875</v>
      </c>
      <c r="G11">
        <v>6282.17</v>
      </c>
      <c r="H11">
        <v>6390.75</v>
      </c>
      <c r="I11">
        <v>5844.6631274102001</v>
      </c>
      <c r="J11">
        <v>4909.2646184831001</v>
      </c>
      <c r="K11">
        <v>6843.9595153113996</v>
      </c>
      <c r="L11">
        <v>4859.0800978787001</v>
      </c>
      <c r="M11">
        <v>985.58302953149996</v>
      </c>
      <c r="N11">
        <v>8.41</v>
      </c>
      <c r="O11">
        <v>5416.7207017089386</v>
      </c>
      <c r="P11">
        <v>6411.4716811034614</v>
      </c>
      <c r="Q11">
        <f t="shared" si="0"/>
        <v>-476.65380859380002</v>
      </c>
      <c r="R11">
        <f t="shared" si="1"/>
        <v>-8.059622183461064E-2</v>
      </c>
      <c r="S11">
        <f t="shared" si="2"/>
        <v>69.433063995999873</v>
      </c>
      <c r="T11">
        <f t="shared" si="3"/>
        <v>1.1740266263658913E-2</v>
      </c>
    </row>
    <row r="12" spans="1:20" x14ac:dyDescent="0.3">
      <c r="A12" s="2">
        <v>45962</v>
      </c>
      <c r="B12" t="s">
        <v>16</v>
      </c>
      <c r="C12">
        <v>5126.8583984375</v>
      </c>
      <c r="E12">
        <v>4683.4509354535003</v>
      </c>
      <c r="F12">
        <v>4173.93</v>
      </c>
      <c r="G12">
        <v>4232.3149999999996</v>
      </c>
      <c r="H12">
        <v>4729.18</v>
      </c>
      <c r="I12">
        <v>4683.4509354535003</v>
      </c>
      <c r="J12">
        <v>3774.4026383690002</v>
      </c>
      <c r="K12">
        <v>5587.1514581801002</v>
      </c>
      <c r="L12">
        <v>4875.3431029726999</v>
      </c>
      <c r="M12">
        <v>-191.8921675192</v>
      </c>
      <c r="N12">
        <v>8.41</v>
      </c>
      <c r="O12">
        <v>4695.6896071289057</v>
      </c>
      <c r="P12">
        <v>5558.0271897460943</v>
      </c>
      <c r="Q12">
        <f t="shared" si="0"/>
        <v>397.67839843749971</v>
      </c>
      <c r="R12">
        <f t="shared" si="1"/>
        <v>7.7567657916727165E-2</v>
      </c>
      <c r="S12">
        <f t="shared" si="2"/>
        <v>443.40746298399972</v>
      </c>
      <c r="T12">
        <f t="shared" si="3"/>
        <v>8.6487167876361848E-2</v>
      </c>
    </row>
    <row r="13" spans="1:20" x14ac:dyDescent="0.3">
      <c r="A13" s="2">
        <v>45992</v>
      </c>
      <c r="B13" t="s">
        <v>16</v>
      </c>
      <c r="C13">
        <v>5178.0151367188</v>
      </c>
      <c r="E13">
        <v>4660.7449833868995</v>
      </c>
      <c r="F13">
        <v>4392.3275000000003</v>
      </c>
      <c r="G13">
        <v>4543.24</v>
      </c>
      <c r="H13">
        <v>4560.21</v>
      </c>
      <c r="I13">
        <v>4660.7449833868995</v>
      </c>
      <c r="J13">
        <v>3688.4126516799001</v>
      </c>
      <c r="K13">
        <v>5546.1444533067997</v>
      </c>
      <c r="L13">
        <v>4891.0814949992</v>
      </c>
      <c r="M13">
        <v>-230.3365116123</v>
      </c>
      <c r="N13">
        <v>8.41</v>
      </c>
      <c r="O13">
        <v>4742.5440637207485</v>
      </c>
      <c r="P13">
        <v>5613.4862097168516</v>
      </c>
      <c r="Q13">
        <f t="shared" si="0"/>
        <v>617.80513671879999</v>
      </c>
      <c r="R13">
        <f t="shared" si="1"/>
        <v>0.11931311910190556</v>
      </c>
      <c r="S13">
        <f t="shared" si="2"/>
        <v>517.27015333190047</v>
      </c>
      <c r="T13">
        <f t="shared" si="3"/>
        <v>9.9897381462597218E-2</v>
      </c>
    </row>
    <row r="14" spans="1:20" x14ac:dyDescent="0.3">
      <c r="A14" s="2">
        <v>45658</v>
      </c>
      <c r="B14" t="s">
        <v>17</v>
      </c>
      <c r="C14">
        <v>9104.58984375</v>
      </c>
      <c r="D14">
        <v>9417.64</v>
      </c>
      <c r="E14">
        <v>8617.1895039407991</v>
      </c>
      <c r="F14">
        <v>8715.5640000000003</v>
      </c>
      <c r="G14">
        <v>8982.9</v>
      </c>
      <c r="H14">
        <v>8548.16</v>
      </c>
      <c r="I14">
        <v>8617.1895039407991</v>
      </c>
      <c r="J14">
        <v>6944.4891800226997</v>
      </c>
      <c r="K14">
        <v>10279.792681877099</v>
      </c>
      <c r="L14">
        <v>7922.9684311907004</v>
      </c>
      <c r="M14">
        <v>694.22107274999996</v>
      </c>
      <c r="N14">
        <v>11.06</v>
      </c>
      <c r="O14">
        <v>8097.6222070312497</v>
      </c>
      <c r="P14">
        <v>10111.557480468749</v>
      </c>
      <c r="Q14">
        <f t="shared" si="0"/>
        <v>556.42984375000015</v>
      </c>
      <c r="R14">
        <f t="shared" si="1"/>
        <v>6.1115311430747297E-2</v>
      </c>
      <c r="S14">
        <f t="shared" si="2"/>
        <v>487.40033980920089</v>
      </c>
      <c r="T14">
        <f t="shared" si="3"/>
        <v>5.3533475771430285E-2</v>
      </c>
    </row>
    <row r="15" spans="1:20" x14ac:dyDescent="0.3">
      <c r="A15" s="2">
        <v>45689</v>
      </c>
      <c r="B15" t="s">
        <v>17</v>
      </c>
      <c r="C15">
        <v>6122.5</v>
      </c>
      <c r="D15">
        <v>5858.15</v>
      </c>
      <c r="E15">
        <v>8066.0701333678999</v>
      </c>
      <c r="F15">
        <v>8057.1880000000001</v>
      </c>
      <c r="G15">
        <v>5767.53</v>
      </c>
      <c r="H15">
        <v>5676.91</v>
      </c>
      <c r="I15">
        <v>8066.0701333678999</v>
      </c>
      <c r="J15">
        <v>6421.401034431</v>
      </c>
      <c r="K15">
        <v>9631.0431218211997</v>
      </c>
      <c r="L15">
        <v>7923.7236632164004</v>
      </c>
      <c r="M15">
        <v>142.3464701515</v>
      </c>
      <c r="N15">
        <v>11.06</v>
      </c>
      <c r="O15">
        <v>5445.3514999999998</v>
      </c>
      <c r="P15">
        <v>6799.6485000000002</v>
      </c>
      <c r="Q15">
        <f t="shared" si="0"/>
        <v>445.59000000000015</v>
      </c>
      <c r="R15">
        <f t="shared" si="1"/>
        <v>7.2779093507554127E-2</v>
      </c>
      <c r="S15">
        <f t="shared" si="2"/>
        <v>-1943.5701333678999</v>
      </c>
      <c r="T15">
        <f t="shared" si="3"/>
        <v>-0.31744714305723148</v>
      </c>
    </row>
    <row r="16" spans="1:20" x14ac:dyDescent="0.3">
      <c r="A16" s="2">
        <v>45717</v>
      </c>
      <c r="B16" t="s">
        <v>17</v>
      </c>
      <c r="C16">
        <v>7784.2299804688</v>
      </c>
      <c r="D16">
        <v>8050.68</v>
      </c>
      <c r="E16">
        <v>7355.7784159286002</v>
      </c>
      <c r="F16">
        <v>7134.9719999999998</v>
      </c>
      <c r="G16">
        <v>9205.0400000000009</v>
      </c>
      <c r="H16">
        <v>10359.4</v>
      </c>
      <c r="I16">
        <v>7355.7784159286002</v>
      </c>
      <c r="J16">
        <v>5613.9827140369998</v>
      </c>
      <c r="K16">
        <v>9012.0275897735992</v>
      </c>
      <c r="L16">
        <v>7924.4058082719002</v>
      </c>
      <c r="M16">
        <v>-568.62739234330002</v>
      </c>
      <c r="N16">
        <v>11.06</v>
      </c>
      <c r="O16">
        <v>6923.2941446289506</v>
      </c>
      <c r="P16">
        <v>8645.1658163086504</v>
      </c>
      <c r="Q16">
        <f t="shared" si="0"/>
        <v>-2575.1700195311996</v>
      </c>
      <c r="R16">
        <f t="shared" si="1"/>
        <v>-0.33081885118919774</v>
      </c>
      <c r="S16">
        <f t="shared" si="2"/>
        <v>428.4515645401998</v>
      </c>
      <c r="T16">
        <f t="shared" si="3"/>
        <v>5.5040969449157588E-2</v>
      </c>
    </row>
    <row r="17" spans="1:20" x14ac:dyDescent="0.3">
      <c r="A17" s="2">
        <v>45748</v>
      </c>
      <c r="B17" t="s">
        <v>17</v>
      </c>
      <c r="C17">
        <v>7064.7797851562</v>
      </c>
      <c r="D17">
        <v>7614.73</v>
      </c>
      <c r="E17">
        <v>6977.8120468340003</v>
      </c>
      <c r="F17">
        <v>6962.7359999999999</v>
      </c>
      <c r="G17">
        <v>7641.89</v>
      </c>
      <c r="H17">
        <v>7669.05</v>
      </c>
      <c r="I17">
        <v>6977.8120468340003</v>
      </c>
      <c r="J17">
        <v>5124.1440170773003</v>
      </c>
      <c r="K17">
        <v>8672.3346882679998</v>
      </c>
      <c r="L17">
        <v>7925.1610402975002</v>
      </c>
      <c r="M17">
        <v>-947.34899346350005</v>
      </c>
      <c r="N17">
        <v>11.06</v>
      </c>
      <c r="O17">
        <v>6283.415140917924</v>
      </c>
      <c r="P17">
        <v>7846.144429394476</v>
      </c>
      <c r="Q17">
        <f t="shared" si="0"/>
        <v>-604.2702148438002</v>
      </c>
      <c r="R17">
        <f t="shared" si="1"/>
        <v>-8.5532774300117839E-2</v>
      </c>
      <c r="S17">
        <f t="shared" si="2"/>
        <v>86.967738322199693</v>
      </c>
      <c r="T17">
        <f t="shared" si="3"/>
        <v>1.2310042346249418E-2</v>
      </c>
    </row>
    <row r="18" spans="1:20" x14ac:dyDescent="0.3">
      <c r="A18" s="2">
        <v>45778</v>
      </c>
      <c r="B18" t="s">
        <v>17</v>
      </c>
      <c r="C18">
        <v>8426.0302734375</v>
      </c>
      <c r="D18">
        <v>8449.65</v>
      </c>
      <c r="E18">
        <v>8397.0460302177999</v>
      </c>
      <c r="F18">
        <v>8467.2459999999992</v>
      </c>
      <c r="G18">
        <v>8635.25</v>
      </c>
      <c r="H18">
        <v>8820.85</v>
      </c>
      <c r="I18">
        <v>8397.0460302177999</v>
      </c>
      <c r="J18">
        <v>6711.7045648333997</v>
      </c>
      <c r="K18">
        <v>10017.375347396601</v>
      </c>
      <c r="L18">
        <v>7925.8919099998002</v>
      </c>
      <c r="M18">
        <v>471.154120218</v>
      </c>
      <c r="N18">
        <v>11.06</v>
      </c>
      <c r="O18">
        <v>7494.111325195312</v>
      </c>
      <c r="P18">
        <v>9357.949221679688</v>
      </c>
      <c r="Q18">
        <f t="shared" si="0"/>
        <v>-394.81972656250036</v>
      </c>
      <c r="R18">
        <f t="shared" si="1"/>
        <v>-4.6857145506246672E-2</v>
      </c>
      <c r="S18">
        <f t="shared" si="2"/>
        <v>28.984243219700147</v>
      </c>
      <c r="T18">
        <f t="shared" si="3"/>
        <v>3.4398456069011578E-3</v>
      </c>
    </row>
    <row r="19" spans="1:20" x14ac:dyDescent="0.3">
      <c r="A19" s="2">
        <v>45809</v>
      </c>
      <c r="B19" t="s">
        <v>17</v>
      </c>
      <c r="C19">
        <v>6563.759765625</v>
      </c>
      <c r="D19">
        <v>6434.35</v>
      </c>
      <c r="E19">
        <v>7283.0224747139</v>
      </c>
      <c r="F19">
        <v>7511.0720000000001</v>
      </c>
      <c r="G19">
        <v>6888.27</v>
      </c>
      <c r="H19">
        <v>7342.19</v>
      </c>
      <c r="I19">
        <v>7283.0224747139</v>
      </c>
      <c r="J19">
        <v>5607.0776259595996</v>
      </c>
      <c r="K19">
        <v>8986.6842988132994</v>
      </c>
      <c r="L19">
        <v>7926.6471420255002</v>
      </c>
      <c r="M19">
        <v>-643.62466731150005</v>
      </c>
      <c r="N19">
        <v>11.06</v>
      </c>
      <c r="O19">
        <v>5837.8079355468744</v>
      </c>
      <c r="P19">
        <v>7289.7115957031256</v>
      </c>
      <c r="Q19">
        <f t="shared" si="0"/>
        <v>-778.4302343749996</v>
      </c>
      <c r="R19">
        <f t="shared" si="1"/>
        <v>-0.11859517443824022</v>
      </c>
      <c r="S19">
        <f t="shared" si="2"/>
        <v>-719.26270908890001</v>
      </c>
      <c r="T19">
        <f t="shared" si="3"/>
        <v>-0.10958090100368138</v>
      </c>
    </row>
    <row r="20" spans="1:20" x14ac:dyDescent="0.3">
      <c r="A20" s="2">
        <v>45839</v>
      </c>
      <c r="B20" t="s">
        <v>17</v>
      </c>
      <c r="C20">
        <v>6952.6201171875</v>
      </c>
      <c r="D20">
        <v>6736.62</v>
      </c>
      <c r="E20">
        <v>7625.0364955666</v>
      </c>
      <c r="F20">
        <v>7552.848</v>
      </c>
      <c r="G20">
        <v>6501.16</v>
      </c>
      <c r="H20">
        <v>6265.7</v>
      </c>
      <c r="I20">
        <v>7625.0364955666</v>
      </c>
      <c r="J20">
        <v>5843.9129212574999</v>
      </c>
      <c r="K20">
        <v>9361.9352289314993</v>
      </c>
      <c r="L20">
        <v>7927.3780117277001</v>
      </c>
      <c r="M20">
        <v>-302.3415161611</v>
      </c>
      <c r="N20">
        <v>11.06</v>
      </c>
      <c r="O20">
        <v>6183.6603322265619</v>
      </c>
      <c r="P20">
        <v>7721.5799021484381</v>
      </c>
      <c r="Q20">
        <f t="shared" si="0"/>
        <v>686.92011718750018</v>
      </c>
      <c r="R20">
        <f t="shared" si="1"/>
        <v>9.8800179732151924E-2</v>
      </c>
      <c r="S20">
        <f t="shared" si="2"/>
        <v>-672.41637837910002</v>
      </c>
      <c r="T20">
        <f t="shared" si="3"/>
        <v>-9.6714097282091752E-2</v>
      </c>
    </row>
    <row r="21" spans="1:20" x14ac:dyDescent="0.3">
      <c r="A21" s="2">
        <v>45870</v>
      </c>
      <c r="B21" t="s">
        <v>17</v>
      </c>
      <c r="C21">
        <v>8015.919921875</v>
      </c>
      <c r="D21">
        <v>9960.4599999999991</v>
      </c>
      <c r="E21">
        <v>7829.6491240706</v>
      </c>
      <c r="F21">
        <v>7622.7</v>
      </c>
      <c r="G21">
        <v>7920.5150000000003</v>
      </c>
      <c r="H21">
        <v>5880.57</v>
      </c>
      <c r="I21">
        <v>7829.6491240706</v>
      </c>
      <c r="J21">
        <v>6071.9167569018</v>
      </c>
      <c r="K21">
        <v>9463.8322854907001</v>
      </c>
      <c r="L21">
        <v>7928.1332437534002</v>
      </c>
      <c r="M21">
        <v>-98.484119682799999</v>
      </c>
      <c r="N21">
        <v>11.06</v>
      </c>
      <c r="O21">
        <v>7129.359178515625</v>
      </c>
      <c r="P21">
        <v>8902.4806652343759</v>
      </c>
      <c r="Q21">
        <f t="shared" si="0"/>
        <v>2135.3499218750003</v>
      </c>
      <c r="R21">
        <f t="shared" si="1"/>
        <v>0.26638862946319475</v>
      </c>
      <c r="S21">
        <f t="shared" si="2"/>
        <v>186.27079780439999</v>
      </c>
      <c r="T21">
        <f t="shared" si="3"/>
        <v>2.3237607114322253E-2</v>
      </c>
    </row>
    <row r="22" spans="1:20" x14ac:dyDescent="0.3">
      <c r="A22" s="2">
        <v>45901</v>
      </c>
      <c r="B22" t="s">
        <v>17</v>
      </c>
      <c r="C22">
        <v>8302.8203125</v>
      </c>
      <c r="D22">
        <v>7534.79</v>
      </c>
      <c r="E22">
        <v>8106.7799323382997</v>
      </c>
      <c r="F22">
        <v>7900.2560000000003</v>
      </c>
      <c r="G22">
        <v>6927</v>
      </c>
      <c r="H22">
        <v>6319.21</v>
      </c>
      <c r="I22">
        <v>8106.7799323382997</v>
      </c>
      <c r="J22">
        <v>6449.8791793589999</v>
      </c>
      <c r="K22">
        <v>9805.8072579594009</v>
      </c>
      <c r="L22">
        <v>7928.8884757791002</v>
      </c>
      <c r="M22">
        <v>177.89145655920001</v>
      </c>
      <c r="N22">
        <v>11.06</v>
      </c>
      <c r="O22">
        <v>7384.5283859374986</v>
      </c>
      <c r="P22">
        <v>9221.1122390625005</v>
      </c>
      <c r="Q22">
        <f t="shared" si="0"/>
        <v>1983.6103125</v>
      </c>
      <c r="R22">
        <f t="shared" si="1"/>
        <v>0.2389080141254713</v>
      </c>
      <c r="S22">
        <f t="shared" si="2"/>
        <v>196.04038016170034</v>
      </c>
      <c r="T22">
        <f t="shared" si="3"/>
        <v>2.3611299869582759E-2</v>
      </c>
    </row>
    <row r="23" spans="1:20" x14ac:dyDescent="0.3">
      <c r="A23" s="2">
        <v>45931</v>
      </c>
      <c r="B23" t="s">
        <v>17</v>
      </c>
      <c r="C23">
        <v>8308.8115234375</v>
      </c>
      <c r="E23">
        <v>7919.8701182084997</v>
      </c>
      <c r="F23">
        <v>8005.3874999999998</v>
      </c>
      <c r="G23">
        <v>8740.0550000000003</v>
      </c>
      <c r="H23">
        <v>7420.48</v>
      </c>
      <c r="I23">
        <v>7919.8701182084997</v>
      </c>
      <c r="J23">
        <v>6294.5350732425004</v>
      </c>
      <c r="K23">
        <v>9663.8707372402005</v>
      </c>
      <c r="L23">
        <v>7929.6193454813001</v>
      </c>
      <c r="M23">
        <v>-9.7492272728000007</v>
      </c>
      <c r="N23">
        <v>11.06</v>
      </c>
      <c r="O23">
        <v>7389.8569689453116</v>
      </c>
      <c r="P23">
        <v>9227.7660779296875</v>
      </c>
      <c r="Q23">
        <f t="shared" si="0"/>
        <v>888.33152343750044</v>
      </c>
      <c r="R23">
        <f t="shared" si="1"/>
        <v>0.10691439093686196</v>
      </c>
      <c r="S23">
        <f t="shared" si="2"/>
        <v>388.94140522900034</v>
      </c>
      <c r="T23">
        <f t="shared" si="3"/>
        <v>4.6810714640941636E-2</v>
      </c>
    </row>
    <row r="24" spans="1:20" x14ac:dyDescent="0.3">
      <c r="A24" s="2">
        <v>45962</v>
      </c>
      <c r="B24" t="s">
        <v>17</v>
      </c>
      <c r="C24">
        <v>6834.02734375</v>
      </c>
      <c r="E24">
        <v>7420.8990937949002</v>
      </c>
      <c r="F24">
        <v>7687.08</v>
      </c>
      <c r="G24">
        <v>8745.4150000000009</v>
      </c>
      <c r="H24">
        <v>7692.23</v>
      </c>
      <c r="I24">
        <v>7420.8990937949002</v>
      </c>
      <c r="J24">
        <v>5791.7437177285001</v>
      </c>
      <c r="K24">
        <v>9069.9209017763005</v>
      </c>
      <c r="L24">
        <v>7930.3745775070001</v>
      </c>
      <c r="M24">
        <v>-509.47548371210002</v>
      </c>
      <c r="N24">
        <v>11.06</v>
      </c>
      <c r="O24">
        <v>6078.1839195312496</v>
      </c>
      <c r="P24">
        <v>7589.8707679687504</v>
      </c>
      <c r="Q24">
        <f t="shared" si="0"/>
        <v>-858.20265624999956</v>
      </c>
      <c r="R24">
        <f t="shared" si="1"/>
        <v>-0.12557787861865394</v>
      </c>
      <c r="S24">
        <f t="shared" si="2"/>
        <v>-586.87175004490018</v>
      </c>
      <c r="T24">
        <f t="shared" si="3"/>
        <v>-8.5874949063763792E-2</v>
      </c>
    </row>
    <row r="25" spans="1:20" x14ac:dyDescent="0.3">
      <c r="A25" s="2">
        <v>45992</v>
      </c>
      <c r="B25" t="s">
        <v>17</v>
      </c>
      <c r="C25">
        <v>6811.78125</v>
      </c>
      <c r="E25">
        <v>7821.8713823156004</v>
      </c>
      <c r="F25">
        <v>7743.5424999999996</v>
      </c>
      <c r="G25">
        <v>7778.0249999999996</v>
      </c>
      <c r="H25">
        <v>8853</v>
      </c>
      <c r="I25">
        <v>7821.8713823156004</v>
      </c>
      <c r="J25">
        <v>6107.2441593530002</v>
      </c>
      <c r="K25">
        <v>9508.7503378328001</v>
      </c>
      <c r="L25">
        <v>7931.1054472092001</v>
      </c>
      <c r="M25">
        <v>-109.23406489369999</v>
      </c>
      <c r="N25">
        <v>11.06</v>
      </c>
      <c r="O25">
        <v>6058.3982437499999</v>
      </c>
      <c r="P25">
        <v>7565.1642562500001</v>
      </c>
      <c r="Q25">
        <f t="shared" si="0"/>
        <v>-2041.21875</v>
      </c>
      <c r="R25">
        <f t="shared" si="1"/>
        <v>-0.29966005587745498</v>
      </c>
      <c r="S25">
        <f t="shared" si="2"/>
        <v>-1010.0901323156004</v>
      </c>
      <c r="T25">
        <f t="shared" si="3"/>
        <v>-0.14828575599305988</v>
      </c>
    </row>
    <row r="26" spans="1:20" x14ac:dyDescent="0.3">
      <c r="A26" s="2">
        <v>45658</v>
      </c>
      <c r="B26" t="s">
        <v>18</v>
      </c>
      <c r="C26">
        <v>3461.3898925781</v>
      </c>
      <c r="D26">
        <v>3992</v>
      </c>
      <c r="E26">
        <v>3941.2028986249002</v>
      </c>
      <c r="F26">
        <v>3816.9319999999998</v>
      </c>
      <c r="G26">
        <v>3229.9850000000001</v>
      </c>
      <c r="H26">
        <v>2467.9699999999998</v>
      </c>
      <c r="I26">
        <v>3941.2028986249002</v>
      </c>
      <c r="J26">
        <v>2929.5285524599999</v>
      </c>
      <c r="K26">
        <v>4971.4619774436997</v>
      </c>
      <c r="L26">
        <v>2245.3780872537</v>
      </c>
      <c r="M26">
        <v>1695.8248113712</v>
      </c>
      <c r="N26">
        <v>29.77</v>
      </c>
      <c r="O26">
        <v>2430.9341215575992</v>
      </c>
      <c r="P26">
        <v>4491.8456635986004</v>
      </c>
      <c r="Q26">
        <f t="shared" si="0"/>
        <v>993.41989257810019</v>
      </c>
      <c r="R26">
        <f t="shared" si="1"/>
        <v>0.28700028699690483</v>
      </c>
      <c r="S26">
        <f t="shared" si="2"/>
        <v>-479.81300604680018</v>
      </c>
      <c r="T26">
        <f t="shared" si="3"/>
        <v>-0.13861859569059629</v>
      </c>
    </row>
    <row r="27" spans="1:20" x14ac:dyDescent="0.3">
      <c r="A27" s="2">
        <v>45689</v>
      </c>
      <c r="B27" t="s">
        <v>18</v>
      </c>
      <c r="C27">
        <v>1800.3800048828</v>
      </c>
      <c r="D27">
        <v>1307.58</v>
      </c>
      <c r="E27">
        <v>2264.0935050860999</v>
      </c>
      <c r="F27">
        <v>2651.7820000000002</v>
      </c>
      <c r="G27">
        <v>2080.36</v>
      </c>
      <c r="H27">
        <v>2853.14</v>
      </c>
      <c r="I27">
        <v>2264.0935050860999</v>
      </c>
      <c r="J27">
        <v>1278.6166405166</v>
      </c>
      <c r="K27">
        <v>3237.2230323085</v>
      </c>
      <c r="L27">
        <v>2227.5023418815999</v>
      </c>
      <c r="M27">
        <v>36.591163204600001</v>
      </c>
      <c r="N27">
        <v>29.77</v>
      </c>
      <c r="O27">
        <v>1264.40687742919</v>
      </c>
      <c r="P27">
        <v>2336.35313233641</v>
      </c>
      <c r="Q27">
        <f t="shared" si="0"/>
        <v>-1052.7599951171999</v>
      </c>
      <c r="R27">
        <f t="shared" si="1"/>
        <v>-0.58474321657762007</v>
      </c>
      <c r="S27">
        <f t="shared" si="2"/>
        <v>-463.71350020329987</v>
      </c>
      <c r="T27">
        <f t="shared" si="3"/>
        <v>-0.25756423585335608</v>
      </c>
    </row>
    <row r="28" spans="1:20" x14ac:dyDescent="0.3">
      <c r="A28" s="2">
        <v>45717</v>
      </c>
      <c r="B28" t="s">
        <v>18</v>
      </c>
      <c r="C28">
        <v>2201.6000976562</v>
      </c>
      <c r="D28">
        <v>1997.39</v>
      </c>
      <c r="E28">
        <v>2049.7400637536998</v>
      </c>
      <c r="F28">
        <v>2504.828</v>
      </c>
      <c r="G28">
        <v>2904.15</v>
      </c>
      <c r="H28">
        <v>3810.91</v>
      </c>
      <c r="I28">
        <v>2049.7400637536998</v>
      </c>
      <c r="J28">
        <v>1004.0914698674</v>
      </c>
      <c r="K28">
        <v>2991.5789764676001</v>
      </c>
      <c r="L28">
        <v>2211.3565073518998</v>
      </c>
      <c r="M28">
        <v>-161.61644359819999</v>
      </c>
      <c r="N28">
        <v>29.77</v>
      </c>
      <c r="O28">
        <v>1546.183748583949</v>
      </c>
      <c r="P28">
        <v>2857.0164467284508</v>
      </c>
      <c r="Q28">
        <f t="shared" si="0"/>
        <v>-1609.3099023437999</v>
      </c>
      <c r="R28">
        <f t="shared" si="1"/>
        <v>-0.73097285199844153</v>
      </c>
      <c r="S28">
        <f t="shared" si="2"/>
        <v>151.86003390250016</v>
      </c>
      <c r="T28">
        <f t="shared" si="3"/>
        <v>6.8977119897554839E-2</v>
      </c>
    </row>
    <row r="29" spans="1:20" x14ac:dyDescent="0.3">
      <c r="A29" s="2">
        <v>45748</v>
      </c>
      <c r="B29" t="s">
        <v>18</v>
      </c>
      <c r="C29">
        <v>1436.5699462891</v>
      </c>
      <c r="D29">
        <v>1439.93</v>
      </c>
      <c r="E29">
        <v>1638.0189872173</v>
      </c>
      <c r="F29">
        <v>2167.864</v>
      </c>
      <c r="G29">
        <v>1585.5350000000001</v>
      </c>
      <c r="H29">
        <v>1731.14</v>
      </c>
      <c r="I29">
        <v>1638.0189872173</v>
      </c>
      <c r="J29">
        <v>682.15412856490002</v>
      </c>
      <c r="K29">
        <v>2674.4871088637001</v>
      </c>
      <c r="L29">
        <v>2193.4807619797998</v>
      </c>
      <c r="M29">
        <v>-555.4617747625</v>
      </c>
      <c r="N29">
        <v>29.77</v>
      </c>
      <c r="O29">
        <v>1008.903073278835</v>
      </c>
      <c r="P29">
        <v>1864.2368192993649</v>
      </c>
      <c r="Q29">
        <f t="shared" si="0"/>
        <v>-294.57005371090008</v>
      </c>
      <c r="R29">
        <f t="shared" si="1"/>
        <v>-0.20505096495428135</v>
      </c>
      <c r="S29">
        <f t="shared" si="2"/>
        <v>-201.44904092820002</v>
      </c>
      <c r="T29">
        <f t="shared" si="3"/>
        <v>-0.14022919068338893</v>
      </c>
    </row>
    <row r="30" spans="1:20" x14ac:dyDescent="0.3">
      <c r="A30" s="2">
        <v>45778</v>
      </c>
      <c r="B30" t="s">
        <v>18</v>
      </c>
      <c r="C30">
        <v>2469.8898925781</v>
      </c>
      <c r="D30">
        <v>2388.34</v>
      </c>
      <c r="E30">
        <v>2092.3941060781999</v>
      </c>
      <c r="F30">
        <v>2519.692</v>
      </c>
      <c r="G30">
        <v>2713.2550000000001</v>
      </c>
      <c r="H30">
        <v>3038.17</v>
      </c>
      <c r="I30">
        <v>2092.3941060781999</v>
      </c>
      <c r="J30">
        <v>1111.5955230105001</v>
      </c>
      <c r="K30">
        <v>3093.9608606697002</v>
      </c>
      <c r="L30">
        <v>2176.1816535551998</v>
      </c>
      <c r="M30">
        <v>-83.787547477000004</v>
      </c>
      <c r="N30">
        <v>29.77</v>
      </c>
      <c r="O30">
        <v>1734.603671557599</v>
      </c>
      <c r="P30">
        <v>3205.1761135986012</v>
      </c>
      <c r="Q30">
        <f t="shared" si="0"/>
        <v>-568.28010742190008</v>
      </c>
      <c r="R30">
        <f t="shared" si="1"/>
        <v>-0.23008317461015343</v>
      </c>
      <c r="S30">
        <f t="shared" si="2"/>
        <v>377.49578649990008</v>
      </c>
      <c r="T30">
        <f t="shared" si="3"/>
        <v>0.15283911547403661</v>
      </c>
    </row>
    <row r="31" spans="1:20" x14ac:dyDescent="0.3">
      <c r="A31" s="2">
        <v>45809</v>
      </c>
      <c r="B31" t="s">
        <v>18</v>
      </c>
      <c r="C31">
        <v>2552.2600097656</v>
      </c>
      <c r="D31">
        <v>2448.09</v>
      </c>
      <c r="E31">
        <v>2634.8374725220001</v>
      </c>
      <c r="F31">
        <v>2903.25</v>
      </c>
      <c r="G31">
        <v>3309.82</v>
      </c>
      <c r="H31">
        <v>4171.55</v>
      </c>
      <c r="I31">
        <v>2634.8374725220001</v>
      </c>
      <c r="J31">
        <v>1690.872174808</v>
      </c>
      <c r="K31">
        <v>3610.8145251750002</v>
      </c>
      <c r="L31">
        <v>2158.3059081830002</v>
      </c>
      <c r="M31">
        <v>476.531564339</v>
      </c>
      <c r="N31">
        <v>29.77</v>
      </c>
      <c r="O31">
        <v>1792.452204858381</v>
      </c>
      <c r="P31">
        <v>3312.0678146728192</v>
      </c>
      <c r="Q31">
        <f t="shared" si="0"/>
        <v>-1619.2899902344002</v>
      </c>
      <c r="R31">
        <f t="shared" si="1"/>
        <v>-0.63445338015663855</v>
      </c>
      <c r="S31">
        <f t="shared" si="2"/>
        <v>-82.577462756400109</v>
      </c>
      <c r="T31">
        <f t="shared" si="3"/>
        <v>-3.2354643508277998E-2</v>
      </c>
    </row>
    <row r="32" spans="1:20" x14ac:dyDescent="0.3">
      <c r="A32" s="2">
        <v>45839</v>
      </c>
      <c r="B32" t="s">
        <v>18</v>
      </c>
      <c r="C32">
        <v>2763.6101074219</v>
      </c>
      <c r="D32">
        <v>2922.17</v>
      </c>
      <c r="E32">
        <v>2737.4324872589</v>
      </c>
      <c r="F32">
        <v>3174.2280000000001</v>
      </c>
      <c r="G32">
        <v>2907.14</v>
      </c>
      <c r="H32">
        <v>2892.11</v>
      </c>
      <c r="I32">
        <v>2737.4324872589</v>
      </c>
      <c r="J32">
        <v>1753.0165864507001</v>
      </c>
      <c r="K32">
        <v>3742.7995569661998</v>
      </c>
      <c r="L32">
        <v>2141.0067997584001</v>
      </c>
      <c r="M32">
        <v>596.42568750049998</v>
      </c>
      <c r="N32">
        <v>29.77</v>
      </c>
      <c r="O32">
        <v>1940.8833784424</v>
      </c>
      <c r="P32">
        <v>3586.3368364014</v>
      </c>
      <c r="Q32">
        <f t="shared" si="0"/>
        <v>-128.49989257810012</v>
      </c>
      <c r="R32">
        <f t="shared" si="1"/>
        <v>-4.6497113407207184E-2</v>
      </c>
      <c r="S32">
        <f t="shared" si="2"/>
        <v>26.177620163000029</v>
      </c>
      <c r="T32">
        <f t="shared" si="3"/>
        <v>9.4722551827039203E-3</v>
      </c>
    </row>
    <row r="33" spans="1:20" x14ac:dyDescent="0.3">
      <c r="A33" s="2">
        <v>45870</v>
      </c>
      <c r="B33" t="s">
        <v>18</v>
      </c>
      <c r="C33">
        <v>2756.1101074219</v>
      </c>
      <c r="D33">
        <v>2413.3000000000002</v>
      </c>
      <c r="E33">
        <v>2274.7630766775001</v>
      </c>
      <c r="F33">
        <v>2761.0839999999998</v>
      </c>
      <c r="G33">
        <v>1962.49</v>
      </c>
      <c r="H33">
        <v>1511.68</v>
      </c>
      <c r="I33">
        <v>2274.7630766775001</v>
      </c>
      <c r="J33">
        <v>1244.1001631432</v>
      </c>
      <c r="K33">
        <v>3326.1583748590001</v>
      </c>
      <c r="L33">
        <v>2123.1310543863001</v>
      </c>
      <c r="M33">
        <v>151.6320222912</v>
      </c>
      <c r="N33">
        <v>29.77</v>
      </c>
      <c r="O33">
        <v>1935.6161284423999</v>
      </c>
      <c r="P33">
        <v>3576.6040864013999</v>
      </c>
      <c r="Q33">
        <f t="shared" si="0"/>
        <v>1244.4301074218999</v>
      </c>
      <c r="R33">
        <f t="shared" si="1"/>
        <v>0.45151683311591478</v>
      </c>
      <c r="S33">
        <f t="shared" si="2"/>
        <v>481.34703074439994</v>
      </c>
      <c r="T33">
        <f t="shared" si="3"/>
        <v>0.17464724266573586</v>
      </c>
    </row>
    <row r="34" spans="1:20" x14ac:dyDescent="0.3">
      <c r="A34" s="2">
        <v>45901</v>
      </c>
      <c r="B34" t="s">
        <v>18</v>
      </c>
      <c r="C34">
        <v>2812.25</v>
      </c>
      <c r="D34">
        <v>2067.31</v>
      </c>
      <c r="E34">
        <v>2263.7989826298999</v>
      </c>
      <c r="F34">
        <v>2632.768</v>
      </c>
      <c r="G34">
        <v>1968.54</v>
      </c>
      <c r="H34">
        <v>1869.77</v>
      </c>
      <c r="I34">
        <v>2263.7989826298999</v>
      </c>
      <c r="J34">
        <v>1138.3590794216</v>
      </c>
      <c r="K34">
        <v>3196.4454188517998</v>
      </c>
      <c r="L34">
        <v>2105.2553090142001</v>
      </c>
      <c r="M34">
        <v>158.54367361569999</v>
      </c>
      <c r="N34">
        <v>29.77</v>
      </c>
      <c r="O34">
        <v>1975.043175</v>
      </c>
      <c r="P34">
        <v>3649.4568250000002</v>
      </c>
      <c r="Q34">
        <f t="shared" si="0"/>
        <v>942.48</v>
      </c>
      <c r="R34">
        <f t="shared" si="1"/>
        <v>0.33513378967019292</v>
      </c>
      <c r="S34">
        <f t="shared" si="2"/>
        <v>548.45101737010009</v>
      </c>
      <c r="T34">
        <f t="shared" si="3"/>
        <v>0.19502214147750024</v>
      </c>
    </row>
    <row r="35" spans="1:20" x14ac:dyDescent="0.3">
      <c r="A35" s="2">
        <v>45931</v>
      </c>
      <c r="B35" t="s">
        <v>18</v>
      </c>
      <c r="C35">
        <v>2039.1292724609</v>
      </c>
      <c r="E35">
        <v>1797.0497944348001</v>
      </c>
      <c r="F35">
        <v>2413.0324999999998</v>
      </c>
      <c r="G35">
        <v>2492.5050000000001</v>
      </c>
      <c r="H35">
        <v>1027.32</v>
      </c>
      <c r="I35">
        <v>1797.0497944348001</v>
      </c>
      <c r="J35">
        <v>825.23285688069996</v>
      </c>
      <c r="K35">
        <v>2766.0964009224999</v>
      </c>
      <c r="L35">
        <v>2087.9562005895</v>
      </c>
      <c r="M35">
        <v>-290.90640615469999</v>
      </c>
      <c r="N35">
        <v>29.77</v>
      </c>
      <c r="O35">
        <v>1432.0804880492899</v>
      </c>
      <c r="P35">
        <v>2646.1780568725098</v>
      </c>
      <c r="Q35">
        <f t="shared" si="0"/>
        <v>1011.8092724609</v>
      </c>
      <c r="R35">
        <f t="shared" si="1"/>
        <v>0.49619672775321866</v>
      </c>
      <c r="S35">
        <f t="shared" si="2"/>
        <v>242.07947802609988</v>
      </c>
      <c r="T35">
        <f t="shared" si="3"/>
        <v>0.11871708247998863</v>
      </c>
    </row>
    <row r="36" spans="1:20" x14ac:dyDescent="0.3">
      <c r="A36" s="2">
        <v>45962</v>
      </c>
      <c r="B36" t="s">
        <v>18</v>
      </c>
      <c r="C36">
        <v>2422.0310058594</v>
      </c>
      <c r="E36">
        <v>2144.5221210804002</v>
      </c>
      <c r="F36">
        <v>2592.0974999999999</v>
      </c>
      <c r="G36">
        <v>2257.0700000000002</v>
      </c>
      <c r="H36">
        <v>1718.84</v>
      </c>
      <c r="I36">
        <v>2144.5221210804002</v>
      </c>
      <c r="J36">
        <v>1198.2997105244001</v>
      </c>
      <c r="K36">
        <v>3253.9586485118998</v>
      </c>
      <c r="L36">
        <v>2070.0804552174</v>
      </c>
      <c r="M36">
        <v>74.441665862899995</v>
      </c>
      <c r="N36">
        <v>29.77</v>
      </c>
      <c r="O36">
        <v>1700.9923754150559</v>
      </c>
      <c r="P36">
        <v>3143.0696363037441</v>
      </c>
      <c r="Q36">
        <f t="shared" si="0"/>
        <v>703.19100585940009</v>
      </c>
      <c r="R36">
        <f t="shared" si="1"/>
        <v>0.29033113290384549</v>
      </c>
      <c r="S36">
        <f t="shared" si="2"/>
        <v>277.5088847789998</v>
      </c>
      <c r="T36">
        <f t="shared" si="3"/>
        <v>0.11457693320508602</v>
      </c>
    </row>
    <row r="37" spans="1:20" x14ac:dyDescent="0.3">
      <c r="A37" s="2">
        <v>45992</v>
      </c>
      <c r="B37" t="s">
        <v>18</v>
      </c>
      <c r="C37">
        <v>2201.2587890625</v>
      </c>
      <c r="E37">
        <v>2768.3748892583999</v>
      </c>
      <c r="F37">
        <v>3479.7525000000001</v>
      </c>
      <c r="G37">
        <v>2661.7</v>
      </c>
      <c r="H37">
        <v>1639.29</v>
      </c>
      <c r="I37">
        <v>2768.3748892583999</v>
      </c>
      <c r="J37">
        <v>1778.4237583025999</v>
      </c>
      <c r="K37">
        <v>3749.2872118845999</v>
      </c>
      <c r="L37">
        <v>2052.7813467927999</v>
      </c>
      <c r="M37">
        <v>715.59354246559997</v>
      </c>
      <c r="N37">
        <v>29.77</v>
      </c>
      <c r="O37">
        <v>1545.9440475585941</v>
      </c>
      <c r="P37">
        <v>2856.573530566407</v>
      </c>
      <c r="Q37">
        <f t="shared" si="0"/>
        <v>561.96878906250004</v>
      </c>
      <c r="R37">
        <f t="shared" si="1"/>
        <v>0.2552942851857225</v>
      </c>
      <c r="S37">
        <f t="shared" si="2"/>
        <v>-567.11610019589989</v>
      </c>
      <c r="T37">
        <f t="shared" si="3"/>
        <v>-0.25763263411542381</v>
      </c>
    </row>
    <row r="38" spans="1:20" x14ac:dyDescent="0.3">
      <c r="A38" s="2">
        <v>45658</v>
      </c>
      <c r="B38" t="s">
        <v>19</v>
      </c>
      <c r="C38">
        <v>1600.8599853516</v>
      </c>
      <c r="D38">
        <v>756.3</v>
      </c>
      <c r="E38">
        <v>2156.8812654449998</v>
      </c>
      <c r="F38">
        <v>2778.0239999999999</v>
      </c>
      <c r="G38">
        <v>1177.98</v>
      </c>
      <c r="H38">
        <v>1599.66</v>
      </c>
      <c r="I38">
        <v>2156.8812654449998</v>
      </c>
      <c r="J38">
        <v>1375.7510110554001</v>
      </c>
      <c r="K38">
        <v>2965.2465565255002</v>
      </c>
      <c r="L38">
        <v>1020.4253745261</v>
      </c>
      <c r="M38">
        <v>1136.4558909189</v>
      </c>
      <c r="N38">
        <v>33.67</v>
      </c>
      <c r="O38">
        <v>1061.8504282837159</v>
      </c>
      <c r="P38">
        <v>2139.8695424194839</v>
      </c>
      <c r="Q38">
        <f t="shared" si="0"/>
        <v>1.1999853515999348</v>
      </c>
      <c r="R38">
        <f t="shared" si="1"/>
        <v>7.4958794809052559E-4</v>
      </c>
      <c r="S38">
        <f t="shared" si="2"/>
        <v>-556.02128009339981</v>
      </c>
      <c r="T38">
        <f t="shared" si="3"/>
        <v>-0.34732661518257624</v>
      </c>
    </row>
    <row r="39" spans="1:20" x14ac:dyDescent="0.3">
      <c r="A39" s="2">
        <v>45689</v>
      </c>
      <c r="B39" t="s">
        <v>19</v>
      </c>
      <c r="C39">
        <v>1017.0900268555</v>
      </c>
      <c r="D39">
        <v>834.01</v>
      </c>
      <c r="E39">
        <v>1809.8698863986999</v>
      </c>
      <c r="F39">
        <v>2156.1959999999999</v>
      </c>
      <c r="G39">
        <v>767.71</v>
      </c>
      <c r="H39">
        <v>701.41</v>
      </c>
      <c r="I39">
        <v>1809.8698863986999</v>
      </c>
      <c r="J39">
        <v>1059.3283495838</v>
      </c>
      <c r="K39">
        <v>2617.3730274791001</v>
      </c>
      <c r="L39">
        <v>986.73961633730005</v>
      </c>
      <c r="M39">
        <v>823.13027006139998</v>
      </c>
      <c r="N39">
        <v>33.67</v>
      </c>
      <c r="O39">
        <v>674.63581481325321</v>
      </c>
      <c r="P39">
        <v>1359.5442388977469</v>
      </c>
      <c r="Q39">
        <f t="shared" si="0"/>
        <v>315.68002685550005</v>
      </c>
      <c r="R39">
        <f t="shared" si="1"/>
        <v>0.31037569784405067</v>
      </c>
      <c r="S39">
        <f t="shared" si="2"/>
        <v>-792.7798595431999</v>
      </c>
      <c r="T39">
        <f t="shared" si="3"/>
        <v>-0.77945888624452286</v>
      </c>
    </row>
    <row r="40" spans="1:20" x14ac:dyDescent="0.3">
      <c r="A40" s="2">
        <v>45717</v>
      </c>
      <c r="B40" t="s">
        <v>19</v>
      </c>
      <c r="C40">
        <v>1072.9599609375</v>
      </c>
      <c r="D40">
        <v>911.1</v>
      </c>
      <c r="E40">
        <v>884.58699633410004</v>
      </c>
      <c r="F40">
        <v>1702.54</v>
      </c>
      <c r="G40">
        <v>1628.62</v>
      </c>
      <c r="H40">
        <v>2346.14</v>
      </c>
      <c r="I40">
        <v>884.58699633410004</v>
      </c>
      <c r="J40">
        <v>60.642639074000002</v>
      </c>
      <c r="K40">
        <v>1695.8709679787</v>
      </c>
      <c r="L40">
        <v>956.31377023139999</v>
      </c>
      <c r="M40">
        <v>-71.726773897300006</v>
      </c>
      <c r="N40">
        <v>33.67</v>
      </c>
      <c r="O40">
        <v>711.69434208984376</v>
      </c>
      <c r="P40">
        <v>1434.225579785156</v>
      </c>
      <c r="Q40">
        <f t="shared" si="0"/>
        <v>-1273.1800390624999</v>
      </c>
      <c r="R40">
        <f t="shared" si="1"/>
        <v>-1.1866053584609599</v>
      </c>
      <c r="S40">
        <f t="shared" si="2"/>
        <v>188.37296460339996</v>
      </c>
      <c r="T40">
        <f t="shared" si="3"/>
        <v>0.17556383412369728</v>
      </c>
    </row>
    <row r="41" spans="1:20" x14ac:dyDescent="0.3">
      <c r="A41" s="2">
        <v>45748</v>
      </c>
      <c r="B41" t="s">
        <v>19</v>
      </c>
      <c r="C41">
        <v>843.09997558589998</v>
      </c>
      <c r="D41">
        <v>579.62</v>
      </c>
      <c r="E41">
        <v>904.13782834170001</v>
      </c>
      <c r="F41">
        <v>1684.4839999999999</v>
      </c>
      <c r="G41">
        <v>1367.53</v>
      </c>
      <c r="H41">
        <v>2155.44</v>
      </c>
      <c r="I41">
        <v>904.13782834170001</v>
      </c>
      <c r="J41">
        <v>93.734901651399994</v>
      </c>
      <c r="K41">
        <v>1688.0059513440001</v>
      </c>
      <c r="L41">
        <v>922.62801204259995</v>
      </c>
      <c r="M41">
        <v>-18.490183700900001</v>
      </c>
      <c r="N41">
        <v>33.67</v>
      </c>
      <c r="O41">
        <v>559.22821380612743</v>
      </c>
      <c r="P41">
        <v>1126.971737365672</v>
      </c>
      <c r="Q41">
        <f t="shared" si="0"/>
        <v>-1312.3400244141001</v>
      </c>
      <c r="R41">
        <f t="shared" si="1"/>
        <v>-1.5565651315576288</v>
      </c>
      <c r="S41">
        <f t="shared" si="2"/>
        <v>-61.037852755800031</v>
      </c>
      <c r="T41">
        <f t="shared" si="3"/>
        <v>-7.2396933368883878E-2</v>
      </c>
    </row>
    <row r="42" spans="1:20" x14ac:dyDescent="0.3">
      <c r="A42" s="2">
        <v>45778</v>
      </c>
      <c r="B42" t="s">
        <v>19</v>
      </c>
      <c r="C42">
        <v>810.59997558589998</v>
      </c>
      <c r="D42">
        <v>562.41999999999996</v>
      </c>
      <c r="E42">
        <v>477.04971077009998</v>
      </c>
      <c r="F42">
        <v>1308.9559999999999</v>
      </c>
      <c r="G42">
        <v>1058.8150000000001</v>
      </c>
      <c r="H42">
        <v>1555.21</v>
      </c>
      <c r="I42">
        <v>477.04971077009998</v>
      </c>
      <c r="J42">
        <v>-298.36108477620002</v>
      </c>
      <c r="K42">
        <v>1286.7027501757</v>
      </c>
      <c r="L42">
        <v>890.02889121479996</v>
      </c>
      <c r="M42">
        <v>-412.97918044469998</v>
      </c>
      <c r="N42">
        <v>33.67</v>
      </c>
      <c r="O42">
        <v>537.67096380612747</v>
      </c>
      <c r="P42">
        <v>1083.528987365672</v>
      </c>
      <c r="Q42">
        <f t="shared" si="0"/>
        <v>-744.61002441410005</v>
      </c>
      <c r="R42">
        <f t="shared" si="1"/>
        <v>-0.91859122482195665</v>
      </c>
      <c r="S42">
        <f t="shared" si="2"/>
        <v>333.55026481580001</v>
      </c>
      <c r="T42">
        <f t="shared" si="3"/>
        <v>0.41148565860085373</v>
      </c>
    </row>
    <row r="43" spans="1:20" x14ac:dyDescent="0.3">
      <c r="A43" s="2">
        <v>45809</v>
      </c>
      <c r="B43" t="s">
        <v>19</v>
      </c>
      <c r="C43">
        <v>835.28997802729998</v>
      </c>
      <c r="D43">
        <v>595.79999999999995</v>
      </c>
      <c r="E43">
        <v>624.1206301446</v>
      </c>
      <c r="F43">
        <v>1547.614</v>
      </c>
      <c r="G43">
        <v>895.4</v>
      </c>
      <c r="H43">
        <v>1195</v>
      </c>
      <c r="I43">
        <v>624.1206301446</v>
      </c>
      <c r="J43">
        <v>-180.30162603639999</v>
      </c>
      <c r="K43">
        <v>1397.8357231397999</v>
      </c>
      <c r="L43">
        <v>856.34313302609996</v>
      </c>
      <c r="M43">
        <v>-232.22250288149999</v>
      </c>
      <c r="N43">
        <v>33.67</v>
      </c>
      <c r="O43">
        <v>554.04784242550807</v>
      </c>
      <c r="P43">
        <v>1116.532113629092</v>
      </c>
      <c r="Q43">
        <f t="shared" si="0"/>
        <v>-359.71002197270002</v>
      </c>
      <c r="R43">
        <f t="shared" si="1"/>
        <v>-0.43064089290550966</v>
      </c>
      <c r="S43">
        <f t="shared" si="2"/>
        <v>211.16934788269998</v>
      </c>
      <c r="T43">
        <f t="shared" si="3"/>
        <v>0.2528096271206528</v>
      </c>
    </row>
    <row r="44" spans="1:20" x14ac:dyDescent="0.3">
      <c r="A44" s="2">
        <v>45839</v>
      </c>
      <c r="B44" t="s">
        <v>19</v>
      </c>
      <c r="C44">
        <v>1715.3800048828</v>
      </c>
      <c r="D44">
        <v>887.8</v>
      </c>
      <c r="E44">
        <v>1272.8321097645</v>
      </c>
      <c r="F44">
        <v>2063.7179999999998</v>
      </c>
      <c r="G44">
        <v>1328.26</v>
      </c>
      <c r="H44">
        <v>1768.72</v>
      </c>
      <c r="I44">
        <v>1272.8321097645</v>
      </c>
      <c r="J44">
        <v>452.8124315737</v>
      </c>
      <c r="K44">
        <v>2091.9347333649998</v>
      </c>
      <c r="L44">
        <v>823.74401219829997</v>
      </c>
      <c r="M44">
        <v>449.08809756620002</v>
      </c>
      <c r="N44">
        <v>33.67</v>
      </c>
      <c r="O44">
        <v>1137.811557238761</v>
      </c>
      <c r="P44">
        <v>2292.948452526839</v>
      </c>
      <c r="Q44">
        <f t="shared" si="0"/>
        <v>-53.339995117200033</v>
      </c>
      <c r="R44">
        <f t="shared" si="1"/>
        <v>-3.109514799366242E-2</v>
      </c>
      <c r="S44">
        <f t="shared" si="2"/>
        <v>442.54789511829995</v>
      </c>
      <c r="T44">
        <f t="shared" si="3"/>
        <v>0.25798825558103444</v>
      </c>
    </row>
    <row r="45" spans="1:20" x14ac:dyDescent="0.3">
      <c r="A45" s="2">
        <v>45870</v>
      </c>
      <c r="B45" t="s">
        <v>19</v>
      </c>
      <c r="C45">
        <v>1483</v>
      </c>
      <c r="D45">
        <v>1182.0999999999999</v>
      </c>
      <c r="E45">
        <v>989.71802337669999</v>
      </c>
      <c r="F45">
        <v>1624.9459999999999</v>
      </c>
      <c r="G45">
        <v>1423.07</v>
      </c>
      <c r="H45">
        <v>1664.04</v>
      </c>
      <c r="I45">
        <v>989.71802337669999</v>
      </c>
      <c r="J45">
        <v>168.11216468820001</v>
      </c>
      <c r="K45">
        <v>1775.266318659</v>
      </c>
      <c r="L45">
        <v>790.05825400950005</v>
      </c>
      <c r="M45">
        <v>199.6597693672</v>
      </c>
      <c r="N45">
        <v>33.67</v>
      </c>
      <c r="O45">
        <v>983.6739</v>
      </c>
      <c r="P45">
        <v>1982.3261</v>
      </c>
      <c r="Q45">
        <f t="shared" si="0"/>
        <v>-181.03999999999996</v>
      </c>
      <c r="R45">
        <f t="shared" si="1"/>
        <v>-0.12207687120701279</v>
      </c>
      <c r="S45">
        <f t="shared" si="2"/>
        <v>493.28197662330001</v>
      </c>
      <c r="T45">
        <f t="shared" si="3"/>
        <v>0.33262439421665546</v>
      </c>
    </row>
    <row r="46" spans="1:20" x14ac:dyDescent="0.3">
      <c r="A46" s="2">
        <v>45901</v>
      </c>
      <c r="B46" t="s">
        <v>19</v>
      </c>
      <c r="C46">
        <v>2065.9699707031</v>
      </c>
      <c r="D46">
        <v>1784.3</v>
      </c>
      <c r="E46">
        <v>1305.9024212873001</v>
      </c>
      <c r="F46">
        <v>2058.866</v>
      </c>
      <c r="G46">
        <v>1782.05</v>
      </c>
      <c r="H46">
        <v>1779.8</v>
      </c>
      <c r="I46">
        <v>1305.9024212873001</v>
      </c>
      <c r="J46">
        <v>481.99362390689998</v>
      </c>
      <c r="K46">
        <v>2085.3258762751998</v>
      </c>
      <c r="L46">
        <v>756.37249582080005</v>
      </c>
      <c r="M46">
        <v>549.5299254665</v>
      </c>
      <c r="N46">
        <v>33.67</v>
      </c>
      <c r="O46">
        <v>1370.3578815673659</v>
      </c>
      <c r="P46">
        <v>2761.5820598388341</v>
      </c>
      <c r="Q46">
        <f t="shared" si="0"/>
        <v>286.16997070310003</v>
      </c>
      <c r="R46">
        <f t="shared" si="1"/>
        <v>0.13851603593527034</v>
      </c>
      <c r="S46">
        <f t="shared" si="2"/>
        <v>760.06754941579993</v>
      </c>
      <c r="T46">
        <f t="shared" si="3"/>
        <v>0.36789864334626821</v>
      </c>
    </row>
    <row r="47" spans="1:20" x14ac:dyDescent="0.3">
      <c r="A47" s="2">
        <v>45931</v>
      </c>
      <c r="B47" t="s">
        <v>19</v>
      </c>
      <c r="C47">
        <v>1259.7412109375</v>
      </c>
      <c r="E47">
        <v>992.47266680589996</v>
      </c>
      <c r="F47">
        <v>1963.22</v>
      </c>
      <c r="G47">
        <v>1763.5150000000001</v>
      </c>
      <c r="H47">
        <v>1487.47</v>
      </c>
      <c r="I47">
        <v>992.47266680589996</v>
      </c>
      <c r="J47">
        <v>225.55364261189999</v>
      </c>
      <c r="K47">
        <v>1796.5060147234001</v>
      </c>
      <c r="L47">
        <v>723.77337499299995</v>
      </c>
      <c r="M47">
        <v>268.69929181290001</v>
      </c>
      <c r="N47">
        <v>33.67</v>
      </c>
      <c r="O47">
        <v>835.58634521484373</v>
      </c>
      <c r="P47">
        <v>1683.896076660156</v>
      </c>
      <c r="Q47">
        <f t="shared" si="0"/>
        <v>-227.72878906250003</v>
      </c>
      <c r="R47">
        <f t="shared" si="1"/>
        <v>-0.18077426306711372</v>
      </c>
      <c r="S47">
        <f t="shared" si="2"/>
        <v>267.26854413160004</v>
      </c>
      <c r="T47">
        <f t="shared" si="3"/>
        <v>0.21216146761817745</v>
      </c>
    </row>
    <row r="48" spans="1:20" x14ac:dyDescent="0.3">
      <c r="A48" s="2">
        <v>45962</v>
      </c>
      <c r="B48" t="s">
        <v>19</v>
      </c>
      <c r="C48">
        <v>2754.6750488281</v>
      </c>
      <c r="E48">
        <v>723.34380086650003</v>
      </c>
      <c r="F48">
        <v>1780.2550000000001</v>
      </c>
      <c r="G48">
        <v>1611.365</v>
      </c>
      <c r="H48">
        <v>1536.47</v>
      </c>
      <c r="I48">
        <v>723.34380086650003</v>
      </c>
      <c r="J48">
        <v>-88.581280071400002</v>
      </c>
      <c r="K48">
        <v>1458.0556170039999</v>
      </c>
      <c r="L48">
        <v>690.08761680429996</v>
      </c>
      <c r="M48">
        <v>33.256184062199999</v>
      </c>
      <c r="N48">
        <v>33.67</v>
      </c>
      <c r="O48">
        <v>1827.175959887679</v>
      </c>
      <c r="P48">
        <v>3682.1741377685212</v>
      </c>
      <c r="Q48">
        <f t="shared" si="0"/>
        <v>1218.2050488281</v>
      </c>
      <c r="R48">
        <f t="shared" si="1"/>
        <v>0.44223185211858346</v>
      </c>
      <c r="S48">
        <f t="shared" si="2"/>
        <v>2031.3312479616</v>
      </c>
      <c r="T48">
        <f t="shared" si="3"/>
        <v>0.73741229435601607</v>
      </c>
    </row>
    <row r="49" spans="1:20" x14ac:dyDescent="0.3">
      <c r="A49" s="2">
        <v>45992</v>
      </c>
      <c r="B49" t="s">
        <v>19</v>
      </c>
      <c r="C49">
        <v>1930.4923095703</v>
      </c>
      <c r="E49">
        <v>1026.678552162</v>
      </c>
      <c r="F49">
        <v>2264.3249999999998</v>
      </c>
      <c r="G49">
        <v>2138.0100000000002</v>
      </c>
      <c r="H49">
        <v>1612.1</v>
      </c>
      <c r="I49">
        <v>1026.678552162</v>
      </c>
      <c r="J49">
        <v>181.99526837280001</v>
      </c>
      <c r="K49">
        <v>1812.039139942</v>
      </c>
      <c r="L49">
        <v>657.48849597640003</v>
      </c>
      <c r="M49">
        <v>369.19005618559999</v>
      </c>
      <c r="N49">
        <v>33.67</v>
      </c>
      <c r="O49">
        <v>1280.4955489379799</v>
      </c>
      <c r="P49">
        <v>2580.48907020262</v>
      </c>
      <c r="Q49">
        <f t="shared" si="0"/>
        <v>318.39230957030009</v>
      </c>
      <c r="R49">
        <f t="shared" si="1"/>
        <v>0.16492803829981051</v>
      </c>
      <c r="S49">
        <f t="shared" si="2"/>
        <v>903.81375740830003</v>
      </c>
      <c r="T49">
        <f t="shared" si="3"/>
        <v>0.46817785956861752</v>
      </c>
    </row>
    <row r="50" spans="1:20" x14ac:dyDescent="0.3">
      <c r="A50" s="2">
        <v>45658</v>
      </c>
      <c r="B50" t="s">
        <v>20</v>
      </c>
      <c r="C50">
        <v>4679.0200195312</v>
      </c>
      <c r="D50">
        <v>4107.9799999999996</v>
      </c>
      <c r="E50">
        <v>4883.9635766538004</v>
      </c>
      <c r="F50">
        <v>5278.982</v>
      </c>
      <c r="G50">
        <v>4818.95</v>
      </c>
      <c r="H50">
        <v>5529.92</v>
      </c>
      <c r="I50">
        <v>4883.9635766538004</v>
      </c>
      <c r="J50">
        <v>3715.9429903291998</v>
      </c>
      <c r="K50">
        <v>6132.8810486441998</v>
      </c>
      <c r="L50">
        <v>4929.7538384519003</v>
      </c>
      <c r="M50">
        <v>-45.790261798099998</v>
      </c>
      <c r="N50">
        <v>18.93</v>
      </c>
      <c r="O50">
        <v>3793.2815298339442</v>
      </c>
      <c r="P50">
        <v>5564.7585092284562</v>
      </c>
      <c r="Q50">
        <f t="shared" si="0"/>
        <v>-850.89998046880009</v>
      </c>
      <c r="R50">
        <f t="shared" si="1"/>
        <v>-0.18185431498838797</v>
      </c>
      <c r="S50">
        <f t="shared" si="2"/>
        <v>-204.9435571226004</v>
      </c>
      <c r="T50">
        <f t="shared" si="3"/>
        <v>-4.3800530082607786E-2</v>
      </c>
    </row>
    <row r="51" spans="1:20" x14ac:dyDescent="0.3">
      <c r="A51" s="2">
        <v>45689</v>
      </c>
      <c r="B51" t="s">
        <v>20</v>
      </c>
      <c r="C51">
        <v>3690.0900878906</v>
      </c>
      <c r="D51">
        <v>3260.28</v>
      </c>
      <c r="E51">
        <v>4678.8632191040997</v>
      </c>
      <c r="F51">
        <v>4566.4660000000003</v>
      </c>
      <c r="G51">
        <v>3667.3850000000002</v>
      </c>
      <c r="H51">
        <v>4074.49</v>
      </c>
      <c r="I51">
        <v>4678.8632191040997</v>
      </c>
      <c r="J51">
        <v>3527.9654179795002</v>
      </c>
      <c r="K51">
        <v>5880.6161213872001</v>
      </c>
      <c r="L51">
        <v>4927.2336490786001</v>
      </c>
      <c r="M51">
        <v>-248.3704299744</v>
      </c>
      <c r="N51">
        <v>18.93</v>
      </c>
      <c r="O51">
        <v>2991.5560342529088</v>
      </c>
      <c r="P51">
        <v>4388.6241415282902</v>
      </c>
      <c r="Q51">
        <f t="shared" si="0"/>
        <v>-384.39991210939979</v>
      </c>
      <c r="R51">
        <f t="shared" si="1"/>
        <v>-0.10417087468158205</v>
      </c>
      <c r="S51">
        <f t="shared" si="2"/>
        <v>-988.77313121349971</v>
      </c>
      <c r="T51">
        <f t="shared" si="3"/>
        <v>-0.26795365632352924</v>
      </c>
    </row>
    <row r="52" spans="1:20" x14ac:dyDescent="0.3">
      <c r="A52" s="2">
        <v>45717</v>
      </c>
      <c r="B52" t="s">
        <v>20</v>
      </c>
      <c r="C52">
        <v>4867.5</v>
      </c>
      <c r="D52">
        <v>5738.48</v>
      </c>
      <c r="E52">
        <v>5564.0451983232997</v>
      </c>
      <c r="F52">
        <v>5663.9639999999999</v>
      </c>
      <c r="G52">
        <v>5920.8249999999998</v>
      </c>
      <c r="H52">
        <v>6103.17</v>
      </c>
      <c r="I52">
        <v>5564.0451983232997</v>
      </c>
      <c r="J52">
        <v>4301.3735459355003</v>
      </c>
      <c r="K52">
        <v>6748.1397738612004</v>
      </c>
      <c r="L52">
        <v>4924.9573489994</v>
      </c>
      <c r="M52">
        <v>639.08784932389995</v>
      </c>
      <c r="N52">
        <v>18.93</v>
      </c>
      <c r="O52">
        <v>3946.0822499999999</v>
      </c>
      <c r="P52">
        <v>5788.9177500000014</v>
      </c>
      <c r="Q52">
        <f t="shared" si="0"/>
        <v>-1235.67</v>
      </c>
      <c r="R52">
        <f t="shared" si="1"/>
        <v>-0.25386132511556242</v>
      </c>
      <c r="S52">
        <f t="shared" si="2"/>
        <v>-696.5451983232997</v>
      </c>
      <c r="T52">
        <f t="shared" si="3"/>
        <v>-0.14310122204895731</v>
      </c>
    </row>
    <row r="53" spans="1:20" x14ac:dyDescent="0.3">
      <c r="A53" s="2">
        <v>45748</v>
      </c>
      <c r="B53" t="s">
        <v>20</v>
      </c>
      <c r="C53">
        <v>4241.259765625</v>
      </c>
      <c r="D53">
        <v>3819.49</v>
      </c>
      <c r="E53">
        <v>4186.0617581249999</v>
      </c>
      <c r="F53">
        <v>4250.5460000000003</v>
      </c>
      <c r="G53">
        <v>4074.7750000000001</v>
      </c>
      <c r="H53">
        <v>4330.0600000000004</v>
      </c>
      <c r="I53">
        <v>4186.0617581249999</v>
      </c>
      <c r="J53">
        <v>2979.2823521292999</v>
      </c>
      <c r="K53">
        <v>5425.1116814467996</v>
      </c>
      <c r="L53">
        <v>4922.4371596260999</v>
      </c>
      <c r="M53">
        <v>-736.37540150100006</v>
      </c>
      <c r="N53">
        <v>18.93</v>
      </c>
      <c r="O53">
        <v>3438.3892919921868</v>
      </c>
      <c r="P53">
        <v>5044.1302392578127</v>
      </c>
      <c r="Q53">
        <f t="shared" si="0"/>
        <v>-88.8002343750004</v>
      </c>
      <c r="R53">
        <f t="shared" si="1"/>
        <v>-2.0937230747976748E-2</v>
      </c>
      <c r="S53">
        <f t="shared" si="2"/>
        <v>55.198007500000131</v>
      </c>
      <c r="T53">
        <f t="shared" si="3"/>
        <v>1.3014531188911049E-2</v>
      </c>
    </row>
    <row r="54" spans="1:20" x14ac:dyDescent="0.3">
      <c r="A54" s="2">
        <v>45778</v>
      </c>
      <c r="B54" t="s">
        <v>20</v>
      </c>
      <c r="C54">
        <v>5379.7900390625</v>
      </c>
      <c r="D54">
        <v>5132.2299999999996</v>
      </c>
      <c r="E54">
        <v>5003.2170476898</v>
      </c>
      <c r="F54">
        <v>5140.83</v>
      </c>
      <c r="G54">
        <v>5383.6</v>
      </c>
      <c r="H54">
        <v>5634.97</v>
      </c>
      <c r="I54">
        <v>5003.2170476898</v>
      </c>
      <c r="J54">
        <v>3745.3252680533001</v>
      </c>
      <c r="K54">
        <v>6280.0586320461998</v>
      </c>
      <c r="L54">
        <v>4919.9982666840997</v>
      </c>
      <c r="M54">
        <v>83.218781005699995</v>
      </c>
      <c r="N54">
        <v>18.93</v>
      </c>
      <c r="O54">
        <v>4361.3957846679687</v>
      </c>
      <c r="P54">
        <v>6398.1842934570313</v>
      </c>
      <c r="Q54">
        <f t="shared" si="0"/>
        <v>-255.17996093750025</v>
      </c>
      <c r="R54">
        <f t="shared" si="1"/>
        <v>-4.7433070637449774E-2</v>
      </c>
      <c r="S54">
        <f t="shared" si="2"/>
        <v>376.57299137270002</v>
      </c>
      <c r="T54">
        <f t="shared" si="3"/>
        <v>6.9997711553501984E-2</v>
      </c>
    </row>
    <row r="55" spans="1:20" x14ac:dyDescent="0.3">
      <c r="A55" s="2">
        <v>45809</v>
      </c>
      <c r="B55" t="s">
        <v>20</v>
      </c>
      <c r="C55">
        <v>4587.4799804688</v>
      </c>
      <c r="D55">
        <v>4150.1099999999997</v>
      </c>
      <c r="E55">
        <v>4747.5860106052996</v>
      </c>
      <c r="F55">
        <v>4722.5379999999996</v>
      </c>
      <c r="G55">
        <v>4950.9250000000002</v>
      </c>
      <c r="H55">
        <v>5751.74</v>
      </c>
      <c r="I55">
        <v>4747.5860106052996</v>
      </c>
      <c r="J55">
        <v>3558.863404405</v>
      </c>
      <c r="K55">
        <v>5916.1702589848001</v>
      </c>
      <c r="L55">
        <v>4917.4780773107004</v>
      </c>
      <c r="M55">
        <v>-169.89206670550001</v>
      </c>
      <c r="N55">
        <v>18.93</v>
      </c>
      <c r="O55">
        <v>3719.0700201660561</v>
      </c>
      <c r="P55">
        <v>5455.8899407715444</v>
      </c>
      <c r="Q55">
        <f t="shared" si="0"/>
        <v>-1164.2600195311998</v>
      </c>
      <c r="R55">
        <f t="shared" si="1"/>
        <v>-0.25379075755927827</v>
      </c>
      <c r="S55">
        <f t="shared" si="2"/>
        <v>-160.10603013649961</v>
      </c>
      <c r="T55">
        <f t="shared" si="3"/>
        <v>-3.490064933648783E-2</v>
      </c>
    </row>
    <row r="56" spans="1:20" x14ac:dyDescent="0.3">
      <c r="A56" s="2">
        <v>45839</v>
      </c>
      <c r="B56" t="s">
        <v>20</v>
      </c>
      <c r="C56">
        <v>5020.8901367188</v>
      </c>
      <c r="D56">
        <v>4236.55</v>
      </c>
      <c r="E56">
        <v>4881.0803583568004</v>
      </c>
      <c r="F56">
        <v>4840.942</v>
      </c>
      <c r="G56">
        <v>4654.2550000000001</v>
      </c>
      <c r="H56">
        <v>5071.96</v>
      </c>
      <c r="I56">
        <v>4881.0803583568004</v>
      </c>
      <c r="J56">
        <v>3622.9991504190002</v>
      </c>
      <c r="K56">
        <v>6076.9509103756</v>
      </c>
      <c r="L56">
        <v>4915.0391843688003</v>
      </c>
      <c r="M56">
        <v>-33.958826012000003</v>
      </c>
      <c r="N56">
        <v>18.93</v>
      </c>
      <c r="O56">
        <v>4070.4356338379312</v>
      </c>
      <c r="P56">
        <v>5971.3446395996689</v>
      </c>
      <c r="Q56">
        <f t="shared" si="0"/>
        <v>-51.069863281200014</v>
      </c>
      <c r="R56">
        <f t="shared" si="1"/>
        <v>-1.0171475951587872E-2</v>
      </c>
      <c r="S56">
        <f t="shared" si="2"/>
        <v>139.80977836199963</v>
      </c>
      <c r="T56">
        <f t="shared" si="3"/>
        <v>2.7845615927650363E-2</v>
      </c>
    </row>
    <row r="57" spans="1:20" x14ac:dyDescent="0.3">
      <c r="A57" s="2">
        <v>45870</v>
      </c>
      <c r="B57" t="s">
        <v>20</v>
      </c>
      <c r="C57">
        <v>4854.8500976562</v>
      </c>
      <c r="D57">
        <v>5640.57</v>
      </c>
      <c r="E57">
        <v>4664.5003137260001</v>
      </c>
      <c r="F57">
        <v>4783.21</v>
      </c>
      <c r="G57">
        <v>4224.8</v>
      </c>
      <c r="H57">
        <v>2809.03</v>
      </c>
      <c r="I57">
        <v>4664.5003137260001</v>
      </c>
      <c r="J57">
        <v>3408.9054327913</v>
      </c>
      <c r="K57">
        <v>5861.1820664963998</v>
      </c>
      <c r="L57">
        <v>4912.5189949954001</v>
      </c>
      <c r="M57">
        <v>-248.01868126950001</v>
      </c>
      <c r="N57">
        <v>18.93</v>
      </c>
      <c r="O57">
        <v>3935.8269741698809</v>
      </c>
      <c r="P57">
        <v>5773.8732211425186</v>
      </c>
      <c r="Q57">
        <f t="shared" si="0"/>
        <v>2045.8200976561998</v>
      </c>
      <c r="R57">
        <f t="shared" si="1"/>
        <v>0.42139717118019165</v>
      </c>
      <c r="S57">
        <f t="shared" si="2"/>
        <v>190.34978393019992</v>
      </c>
      <c r="T57">
        <f t="shared" si="3"/>
        <v>3.9208169171298622E-2</v>
      </c>
    </row>
    <row r="58" spans="1:20" x14ac:dyDescent="0.3">
      <c r="A58" s="2">
        <v>45901</v>
      </c>
      <c r="B58" t="s">
        <v>20</v>
      </c>
      <c r="C58">
        <v>4939.2202148438</v>
      </c>
      <c r="D58">
        <v>5788.83</v>
      </c>
      <c r="E58">
        <v>5010.9586654704999</v>
      </c>
      <c r="F58">
        <v>5112.6639999999998</v>
      </c>
      <c r="G58">
        <v>4322.6750000000002</v>
      </c>
      <c r="H58">
        <v>2856.52</v>
      </c>
      <c r="I58">
        <v>5010.9586654704999</v>
      </c>
      <c r="J58">
        <v>3814.0250436717001</v>
      </c>
      <c r="K58">
        <v>6191.6065225399998</v>
      </c>
      <c r="L58">
        <v>4909.9988056221</v>
      </c>
      <c r="M58">
        <v>100.9598598485</v>
      </c>
      <c r="N58">
        <v>18.93</v>
      </c>
      <c r="O58">
        <v>4004.2258281738691</v>
      </c>
      <c r="P58">
        <v>5874.2146015137314</v>
      </c>
      <c r="Q58">
        <f t="shared" si="0"/>
        <v>2082.7002148438</v>
      </c>
      <c r="R58">
        <f t="shared" si="1"/>
        <v>0.42166579424514772</v>
      </c>
      <c r="S58">
        <f t="shared" si="2"/>
        <v>-71.738450626699887</v>
      </c>
      <c r="T58">
        <f t="shared" si="3"/>
        <v>-1.4524246238526656E-2</v>
      </c>
    </row>
    <row r="59" spans="1:20" x14ac:dyDescent="0.3">
      <c r="A59" s="2">
        <v>45931</v>
      </c>
      <c r="B59" t="s">
        <v>20</v>
      </c>
      <c r="C59">
        <v>4684.294921875</v>
      </c>
      <c r="E59">
        <v>5319.0257756074998</v>
      </c>
      <c r="F59">
        <v>5433.93</v>
      </c>
      <c r="G59">
        <v>5922.5550000000003</v>
      </c>
      <c r="H59">
        <v>4349.87</v>
      </c>
      <c r="I59">
        <v>5319.0257756074998</v>
      </c>
      <c r="J59">
        <v>4152.6400715493</v>
      </c>
      <c r="K59">
        <v>6518.6641343212996</v>
      </c>
      <c r="L59">
        <v>4907.5599126800998</v>
      </c>
      <c r="M59">
        <v>411.4658629274</v>
      </c>
      <c r="N59">
        <v>18.93</v>
      </c>
      <c r="O59">
        <v>3797.557893164063</v>
      </c>
      <c r="P59">
        <v>5571.0319505859379</v>
      </c>
      <c r="Q59">
        <f t="shared" si="0"/>
        <v>334.42492187500011</v>
      </c>
      <c r="R59">
        <f t="shared" si="1"/>
        <v>7.1392798159074622E-2</v>
      </c>
      <c r="S59">
        <f t="shared" si="2"/>
        <v>-634.73085373249978</v>
      </c>
      <c r="T59">
        <f t="shared" si="3"/>
        <v>-0.13550189821917399</v>
      </c>
    </row>
    <row r="60" spans="1:20" x14ac:dyDescent="0.3">
      <c r="A60" s="2">
        <v>45962</v>
      </c>
      <c r="B60" t="s">
        <v>20</v>
      </c>
      <c r="C60">
        <v>4220.1254882812</v>
      </c>
      <c r="E60">
        <v>4575.1392278763997</v>
      </c>
      <c r="F60">
        <v>4724.7650000000003</v>
      </c>
      <c r="G60">
        <v>5131.8649999999998</v>
      </c>
      <c r="H60">
        <v>4011.24</v>
      </c>
      <c r="I60">
        <v>4575.1392278763997</v>
      </c>
      <c r="J60">
        <v>3407.4289733605001</v>
      </c>
      <c r="K60">
        <v>5900.7974576548004</v>
      </c>
      <c r="L60">
        <v>4905.0397233067997</v>
      </c>
      <c r="M60">
        <v>-329.90049543039999</v>
      </c>
      <c r="N60">
        <v>18.93</v>
      </c>
      <c r="O60">
        <v>3421.2557333495688</v>
      </c>
      <c r="P60">
        <v>5018.9952432128312</v>
      </c>
      <c r="Q60">
        <f t="shared" si="0"/>
        <v>208.8854882812002</v>
      </c>
      <c r="R60">
        <f t="shared" si="1"/>
        <v>4.9497458988186728E-2</v>
      </c>
      <c r="S60">
        <f t="shared" si="2"/>
        <v>-355.0137395951997</v>
      </c>
      <c r="T60">
        <f t="shared" si="3"/>
        <v>-8.4123977019411336E-2</v>
      </c>
    </row>
    <row r="61" spans="1:20" x14ac:dyDescent="0.3">
      <c r="A61" s="2">
        <v>45992</v>
      </c>
      <c r="B61" t="s">
        <v>20</v>
      </c>
      <c r="C61">
        <v>4482.8823242188</v>
      </c>
      <c r="E61">
        <v>5265.5456346640003</v>
      </c>
      <c r="F61">
        <v>5103.8249999999998</v>
      </c>
      <c r="G61">
        <v>4802.5950000000003</v>
      </c>
      <c r="H61">
        <v>5312.47</v>
      </c>
      <c r="I61">
        <v>5265.5456346640003</v>
      </c>
      <c r="J61">
        <v>3959.9987061301999</v>
      </c>
      <c r="K61">
        <v>6447.7197424079995</v>
      </c>
      <c r="L61">
        <v>4902.6008303647995</v>
      </c>
      <c r="M61">
        <v>362.94480429919997</v>
      </c>
      <c r="N61">
        <v>18.93</v>
      </c>
      <c r="O61">
        <v>3634.2727002441811</v>
      </c>
      <c r="P61">
        <v>5331.4919481934194</v>
      </c>
      <c r="Q61">
        <f t="shared" si="0"/>
        <v>-829.58767578120023</v>
      </c>
      <c r="R61">
        <f t="shared" si="1"/>
        <v>-0.1850567594200159</v>
      </c>
      <c r="S61">
        <f t="shared" si="2"/>
        <v>-782.6633104452003</v>
      </c>
      <c r="T61">
        <f t="shared" si="3"/>
        <v>-0.17458930523713656</v>
      </c>
    </row>
    <row r="62" spans="1:20" x14ac:dyDescent="0.3">
      <c r="A62" s="2">
        <v>45658</v>
      </c>
      <c r="B62" t="s">
        <v>21</v>
      </c>
      <c r="C62">
        <v>6246.3701171875</v>
      </c>
      <c r="D62">
        <v>6670.42</v>
      </c>
      <c r="E62">
        <v>5743.3377195558996</v>
      </c>
      <c r="F62">
        <v>5187.3980000000001</v>
      </c>
      <c r="G62">
        <v>5387.8450000000003</v>
      </c>
      <c r="H62">
        <v>4105.2700000000004</v>
      </c>
      <c r="I62">
        <v>5743.3377195558996</v>
      </c>
      <c r="J62">
        <v>4617.1161260594999</v>
      </c>
      <c r="K62">
        <v>6858.0313063577996</v>
      </c>
      <c r="L62">
        <v>4736.7762928353004</v>
      </c>
      <c r="M62">
        <v>1006.5614267206</v>
      </c>
      <c r="N62">
        <v>9.36</v>
      </c>
      <c r="O62">
        <v>5661.70987421875</v>
      </c>
      <c r="P62">
        <v>6831.0303601562491</v>
      </c>
      <c r="Q62">
        <f t="shared" si="0"/>
        <v>2141.1001171874996</v>
      </c>
      <c r="R62">
        <f t="shared" si="1"/>
        <v>0.34277509609878104</v>
      </c>
      <c r="S62">
        <f t="shared" si="2"/>
        <v>503.03239763160036</v>
      </c>
      <c r="T62">
        <f t="shared" si="3"/>
        <v>8.05319550705869E-2</v>
      </c>
    </row>
    <row r="63" spans="1:20" x14ac:dyDescent="0.3">
      <c r="A63" s="2">
        <v>45689</v>
      </c>
      <c r="B63" t="s">
        <v>21</v>
      </c>
      <c r="C63">
        <v>4827.4702148438</v>
      </c>
      <c r="D63">
        <v>4692.3999999999996</v>
      </c>
      <c r="E63">
        <v>5377.8535636860997</v>
      </c>
      <c r="F63">
        <v>4860.6040000000003</v>
      </c>
      <c r="G63">
        <v>4093.895</v>
      </c>
      <c r="H63">
        <v>3495.39</v>
      </c>
      <c r="I63">
        <v>5377.8535636860997</v>
      </c>
      <c r="J63">
        <v>4226.5921395268997</v>
      </c>
      <c r="K63">
        <v>6477.2900344441996</v>
      </c>
      <c r="L63">
        <v>4753.7787895820002</v>
      </c>
      <c r="M63">
        <v>624.07477410410002</v>
      </c>
      <c r="N63">
        <v>9.36</v>
      </c>
      <c r="O63">
        <v>4375.6190027344201</v>
      </c>
      <c r="P63">
        <v>5279.3214269531791</v>
      </c>
      <c r="Q63">
        <f t="shared" si="0"/>
        <v>1332.0802148438001</v>
      </c>
      <c r="R63">
        <f t="shared" si="1"/>
        <v>0.27593753157665035</v>
      </c>
      <c r="S63">
        <f t="shared" si="2"/>
        <v>-550.38334884229971</v>
      </c>
      <c r="T63">
        <f t="shared" si="3"/>
        <v>-0.11401071873006019</v>
      </c>
    </row>
    <row r="64" spans="1:20" x14ac:dyDescent="0.3">
      <c r="A64" s="2">
        <v>45717</v>
      </c>
      <c r="B64" t="s">
        <v>21</v>
      </c>
      <c r="C64">
        <v>5232.1401367188</v>
      </c>
      <c r="D64">
        <v>4890.92</v>
      </c>
      <c r="E64">
        <v>4397.0248076327998</v>
      </c>
      <c r="F64">
        <v>3845.67</v>
      </c>
      <c r="G64">
        <v>4929.63</v>
      </c>
      <c r="H64">
        <v>4968.34</v>
      </c>
      <c r="I64">
        <v>4397.0248076327998</v>
      </c>
      <c r="J64">
        <v>3278.2340632349001</v>
      </c>
      <c r="K64">
        <v>5443.8760905212002</v>
      </c>
      <c r="L64">
        <v>4769.1358834176999</v>
      </c>
      <c r="M64">
        <v>-372.11107578479999</v>
      </c>
      <c r="N64">
        <v>9.36</v>
      </c>
      <c r="O64">
        <v>4742.4118199219201</v>
      </c>
      <c r="P64">
        <v>5721.868453515679</v>
      </c>
      <c r="Q64">
        <f t="shared" si="0"/>
        <v>263.80013671879988</v>
      </c>
      <c r="R64">
        <f t="shared" si="1"/>
        <v>5.0419164973710975E-2</v>
      </c>
      <c r="S64">
        <f t="shared" si="2"/>
        <v>835.1153290860002</v>
      </c>
      <c r="T64">
        <f t="shared" si="3"/>
        <v>0.15961256909485627</v>
      </c>
    </row>
    <row r="65" spans="1:20" x14ac:dyDescent="0.3">
      <c r="A65" s="2">
        <v>45748</v>
      </c>
      <c r="B65" t="s">
        <v>21</v>
      </c>
      <c r="C65">
        <v>4043.6201171875</v>
      </c>
      <c r="D65">
        <v>3901.77</v>
      </c>
      <c r="E65">
        <v>4113.0907988520003</v>
      </c>
      <c r="F65">
        <v>3780.8220000000001</v>
      </c>
      <c r="G65">
        <v>3509.96</v>
      </c>
      <c r="H65">
        <v>3118.15</v>
      </c>
      <c r="I65">
        <v>4113.0907988520003</v>
      </c>
      <c r="J65">
        <v>3003.1799523923</v>
      </c>
      <c r="K65">
        <v>5282.6473997623998</v>
      </c>
      <c r="L65">
        <v>4786.1383801642996</v>
      </c>
      <c r="M65">
        <v>-673.04758131230005</v>
      </c>
      <c r="N65">
        <v>9.36</v>
      </c>
      <c r="O65">
        <v>3665.13727421875</v>
      </c>
      <c r="P65">
        <v>4422.1029601562504</v>
      </c>
      <c r="Q65">
        <f t="shared" si="0"/>
        <v>925.47011718749991</v>
      </c>
      <c r="R65">
        <f t="shared" si="1"/>
        <v>0.22887167695446167</v>
      </c>
      <c r="S65">
        <f t="shared" si="2"/>
        <v>-69.470681664500262</v>
      </c>
      <c r="T65">
        <f t="shared" si="3"/>
        <v>-1.7180318539126251E-2</v>
      </c>
    </row>
    <row r="66" spans="1:20" x14ac:dyDescent="0.3">
      <c r="A66" s="2">
        <v>45778</v>
      </c>
      <c r="B66" t="s">
        <v>21</v>
      </c>
      <c r="C66">
        <v>5372.6000976562</v>
      </c>
      <c r="D66">
        <v>5334.17</v>
      </c>
      <c r="E66">
        <v>5213.9398232204003</v>
      </c>
      <c r="F66">
        <v>4929.3940000000002</v>
      </c>
      <c r="G66">
        <v>4880.585</v>
      </c>
      <c r="H66">
        <v>4427</v>
      </c>
      <c r="I66">
        <v>5213.9398232204003</v>
      </c>
      <c r="J66">
        <v>4046.7214513887002</v>
      </c>
      <c r="K66">
        <v>6351.1646450378003</v>
      </c>
      <c r="L66">
        <v>4802.5924092739997</v>
      </c>
      <c r="M66">
        <v>411.34741394640002</v>
      </c>
      <c r="N66">
        <v>9.36</v>
      </c>
      <c r="O66">
        <v>4869.72472851558</v>
      </c>
      <c r="P66">
        <v>5875.47546679682</v>
      </c>
      <c r="Q66">
        <f t="shared" si="0"/>
        <v>945.60009765619998</v>
      </c>
      <c r="R66">
        <f t="shared" si="1"/>
        <v>0.17600418428103715</v>
      </c>
      <c r="S66">
        <f t="shared" si="2"/>
        <v>158.66027443579969</v>
      </c>
      <c r="T66">
        <f t="shared" si="3"/>
        <v>2.9531376159006386E-2</v>
      </c>
    </row>
    <row r="67" spans="1:20" x14ac:dyDescent="0.3">
      <c r="A67" s="2">
        <v>45809</v>
      </c>
      <c r="B67" t="s">
        <v>21</v>
      </c>
      <c r="C67">
        <v>4190.1801757812</v>
      </c>
      <c r="D67">
        <v>4168.58</v>
      </c>
      <c r="E67">
        <v>4405.3326006875004</v>
      </c>
      <c r="F67">
        <v>4105.1499999999996</v>
      </c>
      <c r="G67">
        <v>4062.76</v>
      </c>
      <c r="H67">
        <v>3956.94</v>
      </c>
      <c r="I67">
        <v>4405.3326006875004</v>
      </c>
      <c r="J67">
        <v>3250.5239862627</v>
      </c>
      <c r="K67">
        <v>5612.3485470513997</v>
      </c>
      <c r="L67">
        <v>4819.5949060207004</v>
      </c>
      <c r="M67">
        <v>-414.2623053332</v>
      </c>
      <c r="N67">
        <v>9.36</v>
      </c>
      <c r="O67">
        <v>3797.9793113280798</v>
      </c>
      <c r="P67">
        <v>4582.3810402343197</v>
      </c>
      <c r="Q67">
        <f t="shared" ref="Q67:Q130" si="4">C67-H67</f>
        <v>233.24017578119992</v>
      </c>
      <c r="R67">
        <f t="shared" ref="R67:R130" si="5">(C67-H67)/C67</f>
        <v>5.5663519466132641E-2</v>
      </c>
      <c r="S67">
        <f t="shared" ref="S67:S130" si="6">C67-E67</f>
        <v>-215.15242490630044</v>
      </c>
      <c r="T67">
        <f t="shared" ref="T67:T130" si="7">(C67-E67)/C67</f>
        <v>-5.1346819439855786E-2</v>
      </c>
    </row>
    <row r="68" spans="1:20" x14ac:dyDescent="0.3">
      <c r="A68" s="2">
        <v>45839</v>
      </c>
      <c r="B68" t="s">
        <v>21</v>
      </c>
      <c r="C68">
        <v>5283.8798828125</v>
      </c>
      <c r="D68">
        <v>5587.56</v>
      </c>
      <c r="E68">
        <v>5150.0351775239997</v>
      </c>
      <c r="F68">
        <v>4596.7280000000001</v>
      </c>
      <c r="G68">
        <v>4648.68</v>
      </c>
      <c r="H68">
        <v>3709.8</v>
      </c>
      <c r="I68">
        <v>5150.0351775239997</v>
      </c>
      <c r="J68">
        <v>4050.2092811124999</v>
      </c>
      <c r="K68">
        <v>6349.5133858237996</v>
      </c>
      <c r="L68">
        <v>4836.0489351303004</v>
      </c>
      <c r="M68">
        <v>313.98624239370002</v>
      </c>
      <c r="N68">
        <v>9.36</v>
      </c>
      <c r="O68">
        <v>4789.3087257812504</v>
      </c>
      <c r="P68">
        <v>5778.4510398437496</v>
      </c>
      <c r="Q68">
        <f t="shared" si="4"/>
        <v>1574.0798828124998</v>
      </c>
      <c r="R68">
        <f t="shared" si="5"/>
        <v>0.297902283496772</v>
      </c>
      <c r="S68">
        <f t="shared" si="6"/>
        <v>133.84470528850034</v>
      </c>
      <c r="T68">
        <f t="shared" si="7"/>
        <v>2.5330762291526122E-2</v>
      </c>
    </row>
    <row r="69" spans="1:20" x14ac:dyDescent="0.3">
      <c r="A69" s="2">
        <v>45870</v>
      </c>
      <c r="B69" t="s">
        <v>21</v>
      </c>
      <c r="C69">
        <v>4548.6801757812</v>
      </c>
      <c r="D69">
        <v>6991.44</v>
      </c>
      <c r="E69">
        <v>4917.2376500367</v>
      </c>
      <c r="F69">
        <v>4531.7560000000003</v>
      </c>
      <c r="G69">
        <v>5281.7349999999997</v>
      </c>
      <c r="H69">
        <v>3572.03</v>
      </c>
      <c r="I69">
        <v>4917.2376500367</v>
      </c>
      <c r="J69">
        <v>3792.9641875540001</v>
      </c>
      <c r="K69">
        <v>6015.6220188975003</v>
      </c>
      <c r="L69">
        <v>4853.0514318770001</v>
      </c>
      <c r="M69">
        <v>64.186218159700005</v>
      </c>
      <c r="N69">
        <v>9.36</v>
      </c>
      <c r="O69">
        <v>4122.9237113280797</v>
      </c>
      <c r="P69">
        <v>4974.4366402343203</v>
      </c>
      <c r="Q69">
        <f t="shared" si="4"/>
        <v>976.65017578119978</v>
      </c>
      <c r="R69">
        <f t="shared" si="5"/>
        <v>0.21471067167598079</v>
      </c>
      <c r="S69">
        <f t="shared" si="6"/>
        <v>-368.55747425549998</v>
      </c>
      <c r="T69">
        <f t="shared" si="7"/>
        <v>-8.1025145759385714E-2</v>
      </c>
    </row>
    <row r="70" spans="1:20" x14ac:dyDescent="0.3">
      <c r="A70" s="2">
        <v>45901</v>
      </c>
      <c r="B70" t="s">
        <v>21</v>
      </c>
      <c r="C70">
        <v>3700.4799804688</v>
      </c>
      <c r="D70">
        <v>3525.38</v>
      </c>
      <c r="E70">
        <v>4593.0817485583002</v>
      </c>
      <c r="F70">
        <v>4130.8360000000002</v>
      </c>
      <c r="G70">
        <v>3768.12</v>
      </c>
      <c r="H70">
        <v>4010.86</v>
      </c>
      <c r="I70">
        <v>4593.0817485583002</v>
      </c>
      <c r="J70">
        <v>3516.2584715962998</v>
      </c>
      <c r="K70">
        <v>5633.7242254691</v>
      </c>
      <c r="L70">
        <v>4870.0539286236999</v>
      </c>
      <c r="M70">
        <v>-276.97218006539998</v>
      </c>
      <c r="N70">
        <v>9.36</v>
      </c>
      <c r="O70">
        <v>3354.1150542969199</v>
      </c>
      <c r="P70">
        <v>4046.8449066406788</v>
      </c>
      <c r="Q70">
        <f t="shared" si="4"/>
        <v>-310.38001953120011</v>
      </c>
      <c r="R70">
        <f t="shared" si="5"/>
        <v>-8.3875611047591517E-2</v>
      </c>
      <c r="S70">
        <f t="shared" si="6"/>
        <v>-892.60176808950018</v>
      </c>
      <c r="T70">
        <f t="shared" si="7"/>
        <v>-0.24121242995521347</v>
      </c>
    </row>
    <row r="71" spans="1:20" x14ac:dyDescent="0.3">
      <c r="A71" s="2">
        <v>45931</v>
      </c>
      <c r="B71" t="s">
        <v>21</v>
      </c>
      <c r="C71">
        <v>5491.8330078125</v>
      </c>
      <c r="E71">
        <v>4427.1712035678001</v>
      </c>
      <c r="F71">
        <v>3878.68</v>
      </c>
      <c r="G71">
        <v>4798.6499999999996</v>
      </c>
      <c r="H71">
        <v>5223.0200000000004</v>
      </c>
      <c r="I71">
        <v>4427.1712035678001</v>
      </c>
      <c r="J71">
        <v>3311.7302652494</v>
      </c>
      <c r="K71">
        <v>5485.5445650304</v>
      </c>
      <c r="L71">
        <v>4886.5079577332999</v>
      </c>
      <c r="M71">
        <v>-459.3367541655</v>
      </c>
      <c r="N71">
        <v>9.36</v>
      </c>
      <c r="O71">
        <v>4977.7974382812499</v>
      </c>
      <c r="P71">
        <v>6005.8685773437492</v>
      </c>
      <c r="Q71">
        <f t="shared" si="4"/>
        <v>268.81300781249956</v>
      </c>
      <c r="R71">
        <f t="shared" si="5"/>
        <v>4.8947775256475402E-2</v>
      </c>
      <c r="S71">
        <f t="shared" si="6"/>
        <v>1064.6618042446999</v>
      </c>
      <c r="T71">
        <f t="shared" si="7"/>
        <v>0.19386274177130791</v>
      </c>
    </row>
    <row r="72" spans="1:20" x14ac:dyDescent="0.3">
      <c r="A72" s="2">
        <v>45962</v>
      </c>
      <c r="B72" t="s">
        <v>21</v>
      </c>
      <c r="C72">
        <v>6084.0205078125</v>
      </c>
      <c r="E72">
        <v>4947.2801445309997</v>
      </c>
      <c r="F72">
        <v>4515.4949999999999</v>
      </c>
      <c r="G72">
        <v>5153.2299999999996</v>
      </c>
      <c r="H72">
        <v>5405.97</v>
      </c>
      <c r="I72">
        <v>4947.2801445309997</v>
      </c>
      <c r="J72">
        <v>3826.6772360212999</v>
      </c>
      <c r="K72">
        <v>6135.9558459963</v>
      </c>
      <c r="L72">
        <v>4903.5104544799997</v>
      </c>
      <c r="M72">
        <v>43.769690050999998</v>
      </c>
      <c r="N72">
        <v>9.36</v>
      </c>
      <c r="O72">
        <v>5514.5561882812499</v>
      </c>
      <c r="P72">
        <v>6653.4848273437492</v>
      </c>
      <c r="Q72">
        <f t="shared" si="4"/>
        <v>678.05050781249975</v>
      </c>
      <c r="R72">
        <f t="shared" si="5"/>
        <v>0.11144776828773244</v>
      </c>
      <c r="S72">
        <f t="shared" si="6"/>
        <v>1136.7403632815003</v>
      </c>
      <c r="T72">
        <f t="shared" si="7"/>
        <v>0.18684032406232198</v>
      </c>
    </row>
    <row r="73" spans="1:20" x14ac:dyDescent="0.3">
      <c r="A73" s="2">
        <v>45992</v>
      </c>
      <c r="B73" t="s">
        <v>21</v>
      </c>
      <c r="C73">
        <v>3885.2583007812</v>
      </c>
      <c r="E73">
        <v>4538.3512993237</v>
      </c>
      <c r="F73">
        <v>4251.6324999999997</v>
      </c>
      <c r="G73">
        <v>3612.84</v>
      </c>
      <c r="H73">
        <v>4009.98</v>
      </c>
      <c r="I73">
        <v>4538.3512993237</v>
      </c>
      <c r="J73">
        <v>3390.4507589960999</v>
      </c>
      <c r="K73">
        <v>5658.8211418856999</v>
      </c>
      <c r="L73">
        <v>4919.9644835896997</v>
      </c>
      <c r="M73">
        <v>-381.61318426589997</v>
      </c>
      <c r="N73">
        <v>9.36</v>
      </c>
      <c r="O73">
        <v>3521.5981238280801</v>
      </c>
      <c r="P73">
        <v>4248.9184777343198</v>
      </c>
      <c r="Q73">
        <f t="shared" si="4"/>
        <v>-124.72169921880004</v>
      </c>
      <c r="R73">
        <f t="shared" si="5"/>
        <v>-3.2101263175661331E-2</v>
      </c>
      <c r="S73">
        <f t="shared" si="6"/>
        <v>-653.09299854250003</v>
      </c>
      <c r="T73">
        <f t="shared" si="7"/>
        <v>-0.16809512984276595</v>
      </c>
    </row>
    <row r="74" spans="1:20" x14ac:dyDescent="0.3">
      <c r="A74" s="2">
        <v>45658</v>
      </c>
      <c r="B74" t="s">
        <v>22</v>
      </c>
      <c r="C74">
        <v>2010.3800048828</v>
      </c>
      <c r="D74">
        <v>2485.48</v>
      </c>
      <c r="E74">
        <v>2473.0239835026</v>
      </c>
      <c r="F74">
        <v>2099.96</v>
      </c>
      <c r="G74">
        <v>2356.81</v>
      </c>
      <c r="H74">
        <v>2228.14</v>
      </c>
      <c r="I74">
        <v>2473.0239835026</v>
      </c>
      <c r="J74">
        <v>1905.3953194972</v>
      </c>
      <c r="K74">
        <v>3037.9682344308999</v>
      </c>
      <c r="L74">
        <v>2111.0685535574999</v>
      </c>
      <c r="M74">
        <v>361.95542994509998</v>
      </c>
      <c r="N74">
        <v>11.43</v>
      </c>
      <c r="O74">
        <v>1780.593570324696</v>
      </c>
      <c r="P74">
        <v>2240.166439440904</v>
      </c>
      <c r="Q74">
        <f t="shared" si="4"/>
        <v>-217.75999511719988</v>
      </c>
      <c r="R74">
        <f t="shared" si="5"/>
        <v>-0.10831782776803668</v>
      </c>
      <c r="S74">
        <f t="shared" si="6"/>
        <v>-462.64397861980001</v>
      </c>
      <c r="T74">
        <f t="shared" si="7"/>
        <v>-0.23012762636722053</v>
      </c>
    </row>
    <row r="75" spans="1:20" x14ac:dyDescent="0.3">
      <c r="A75" s="2">
        <v>45689</v>
      </c>
      <c r="B75" t="s">
        <v>22</v>
      </c>
      <c r="C75">
        <v>2010.3800048828</v>
      </c>
      <c r="D75">
        <v>3274.83</v>
      </c>
      <c r="E75">
        <v>2884.7028319259998</v>
      </c>
      <c r="F75">
        <v>2256.3359999999998</v>
      </c>
      <c r="G75">
        <v>2651.2849999999999</v>
      </c>
      <c r="H75">
        <v>2027.74</v>
      </c>
      <c r="I75">
        <v>2884.7028319259998</v>
      </c>
      <c r="J75">
        <v>2343.5025278802</v>
      </c>
      <c r="K75">
        <v>3467.4014125878998</v>
      </c>
      <c r="L75">
        <v>2126.1084841482998</v>
      </c>
      <c r="M75">
        <v>758.59434777770002</v>
      </c>
      <c r="N75">
        <v>11.43</v>
      </c>
      <c r="O75">
        <v>1780.593570324696</v>
      </c>
      <c r="P75">
        <v>2240.166439440904</v>
      </c>
      <c r="Q75">
        <f t="shared" si="4"/>
        <v>-17.359995117200015</v>
      </c>
      <c r="R75">
        <f t="shared" si="5"/>
        <v>-8.635180948395901E-3</v>
      </c>
      <c r="S75">
        <f t="shared" si="6"/>
        <v>-874.32282704319982</v>
      </c>
      <c r="T75">
        <f t="shared" si="7"/>
        <v>-0.43490425935377852</v>
      </c>
    </row>
    <row r="76" spans="1:20" x14ac:dyDescent="0.3">
      <c r="A76" s="2">
        <v>45717</v>
      </c>
      <c r="B76" t="s">
        <v>22</v>
      </c>
      <c r="C76">
        <v>1938.3100585938</v>
      </c>
      <c r="D76">
        <v>2434.67</v>
      </c>
      <c r="E76">
        <v>2140.7705201525</v>
      </c>
      <c r="F76">
        <v>1777.9659999999999</v>
      </c>
      <c r="G76">
        <v>2659.25</v>
      </c>
      <c r="H76">
        <v>2883.83</v>
      </c>
      <c r="I76">
        <v>2140.7705201525</v>
      </c>
      <c r="J76">
        <v>1576.6459564851</v>
      </c>
      <c r="K76">
        <v>2744.2007683555998</v>
      </c>
      <c r="L76">
        <v>2139.6929375851</v>
      </c>
      <c r="M76">
        <v>1.0775825672999999</v>
      </c>
      <c r="N76">
        <v>11.43</v>
      </c>
      <c r="O76">
        <v>1716.761218896529</v>
      </c>
      <c r="P76">
        <v>2159.858898291071</v>
      </c>
      <c r="Q76">
        <f t="shared" si="4"/>
        <v>-945.51994140619991</v>
      </c>
      <c r="R76">
        <f t="shared" si="5"/>
        <v>-0.4878063430636857</v>
      </c>
      <c r="S76">
        <f t="shared" si="6"/>
        <v>-202.46046155869999</v>
      </c>
      <c r="T76">
        <f t="shared" si="7"/>
        <v>-0.10445205123971779</v>
      </c>
    </row>
    <row r="77" spans="1:20" x14ac:dyDescent="0.3">
      <c r="A77" s="2">
        <v>45748</v>
      </c>
      <c r="B77" t="s">
        <v>22</v>
      </c>
      <c r="C77">
        <v>2572.5500488281</v>
      </c>
      <c r="D77">
        <v>3723.84</v>
      </c>
      <c r="E77">
        <v>2489.4402450892999</v>
      </c>
      <c r="F77">
        <v>2186.2719999999999</v>
      </c>
      <c r="G77">
        <v>2864.835</v>
      </c>
      <c r="H77">
        <v>2005.83</v>
      </c>
      <c r="I77">
        <v>2489.4402450892999</v>
      </c>
      <c r="J77">
        <v>1943.2673509141</v>
      </c>
      <c r="K77">
        <v>3045.0340046234001</v>
      </c>
      <c r="L77">
        <v>2154.732868176</v>
      </c>
      <c r="M77">
        <v>334.70737691340003</v>
      </c>
      <c r="N77">
        <v>11.43</v>
      </c>
      <c r="O77">
        <v>2278.5075782470481</v>
      </c>
      <c r="P77">
        <v>2866.5925194091519</v>
      </c>
      <c r="Q77">
        <f t="shared" si="4"/>
        <v>566.72004882810006</v>
      </c>
      <c r="R77">
        <f t="shared" si="5"/>
        <v>0.22029505279645145</v>
      </c>
      <c r="S77">
        <f t="shared" si="6"/>
        <v>83.10980373880011</v>
      </c>
      <c r="T77">
        <f t="shared" si="7"/>
        <v>3.230638944290315E-2</v>
      </c>
    </row>
    <row r="78" spans="1:20" x14ac:dyDescent="0.3">
      <c r="A78" s="2">
        <v>45778</v>
      </c>
      <c r="B78" t="s">
        <v>22</v>
      </c>
      <c r="C78">
        <v>2381.419921875</v>
      </c>
      <c r="D78">
        <v>2387.8200000000002</v>
      </c>
      <c r="E78">
        <v>2185.112348182</v>
      </c>
      <c r="F78">
        <v>1923.876</v>
      </c>
      <c r="G78">
        <v>2141.44</v>
      </c>
      <c r="H78">
        <v>1895.06</v>
      </c>
      <c r="I78">
        <v>2185.112348182</v>
      </c>
      <c r="J78">
        <v>1608.3161081178</v>
      </c>
      <c r="K78">
        <v>2741.0915310557998</v>
      </c>
      <c r="L78">
        <v>2169.2876397155001</v>
      </c>
      <c r="M78">
        <v>15.824708466600001</v>
      </c>
      <c r="N78">
        <v>11.43</v>
      </c>
      <c r="O78">
        <v>2109.223624804687</v>
      </c>
      <c r="P78">
        <v>2653.616218945313</v>
      </c>
      <c r="Q78">
        <f t="shared" si="4"/>
        <v>486.35992187500005</v>
      </c>
      <c r="R78">
        <f t="shared" si="5"/>
        <v>0.20423106290807663</v>
      </c>
      <c r="S78">
        <f t="shared" si="6"/>
        <v>196.30757369299999</v>
      </c>
      <c r="T78">
        <f t="shared" si="7"/>
        <v>8.2432993815907157E-2</v>
      </c>
    </row>
    <row r="79" spans="1:20" x14ac:dyDescent="0.3">
      <c r="A79" s="2">
        <v>45809</v>
      </c>
      <c r="B79" t="s">
        <v>22</v>
      </c>
      <c r="C79">
        <v>2905.4499511719</v>
      </c>
      <c r="D79">
        <v>2764.86</v>
      </c>
      <c r="E79">
        <v>3238.3118248578999</v>
      </c>
      <c r="F79">
        <v>2765.154</v>
      </c>
      <c r="G79">
        <v>3115.04</v>
      </c>
      <c r="H79">
        <v>3465.22</v>
      </c>
      <c r="I79">
        <v>3238.3118248578999</v>
      </c>
      <c r="J79">
        <v>2693.0527145824999</v>
      </c>
      <c r="K79">
        <v>3813.3822443409999</v>
      </c>
      <c r="L79">
        <v>2184.3275703063</v>
      </c>
      <c r="M79">
        <v>1053.9842545516001</v>
      </c>
      <c r="N79">
        <v>11.43</v>
      </c>
      <c r="O79">
        <v>2573.3570217529518</v>
      </c>
      <c r="P79">
        <v>3237.5428805908482</v>
      </c>
      <c r="Q79">
        <f t="shared" si="4"/>
        <v>-559.77004882809979</v>
      </c>
      <c r="R79">
        <f t="shared" si="5"/>
        <v>-0.19266208616063721</v>
      </c>
      <c r="S79">
        <f t="shared" si="6"/>
        <v>-332.86187368599985</v>
      </c>
      <c r="T79">
        <f t="shared" si="7"/>
        <v>-0.11456465582955284</v>
      </c>
    </row>
    <row r="80" spans="1:20" x14ac:dyDescent="0.3">
      <c r="A80" s="2">
        <v>45839</v>
      </c>
      <c r="B80" t="s">
        <v>22</v>
      </c>
      <c r="C80">
        <v>2069.330078125</v>
      </c>
      <c r="D80">
        <v>2651.33</v>
      </c>
      <c r="E80">
        <v>2563.1783657018</v>
      </c>
      <c r="F80">
        <v>2276.3040000000001</v>
      </c>
      <c r="G80">
        <v>2371.8649999999998</v>
      </c>
      <c r="H80">
        <v>2092.4</v>
      </c>
      <c r="I80">
        <v>2563.1783657018</v>
      </c>
      <c r="J80">
        <v>1992.6430226936</v>
      </c>
      <c r="K80">
        <v>3080.9369012938</v>
      </c>
      <c r="L80">
        <v>2198.8823418458001</v>
      </c>
      <c r="M80">
        <v>364.29602385610002</v>
      </c>
      <c r="N80">
        <v>11.43</v>
      </c>
      <c r="O80">
        <v>1832.8056501953131</v>
      </c>
      <c r="P80">
        <v>2305.854506054688</v>
      </c>
      <c r="Q80">
        <f t="shared" si="4"/>
        <v>-23.069921875000091</v>
      </c>
      <c r="R80">
        <f t="shared" si="5"/>
        <v>-1.1148497824911299E-2</v>
      </c>
      <c r="S80">
        <f t="shared" si="6"/>
        <v>-493.84828757679998</v>
      </c>
      <c r="T80">
        <f t="shared" si="7"/>
        <v>-0.23865128758205223</v>
      </c>
    </row>
    <row r="81" spans="1:20" x14ac:dyDescent="0.3">
      <c r="A81" s="2">
        <v>45870</v>
      </c>
      <c r="B81" t="s">
        <v>22</v>
      </c>
      <c r="C81">
        <v>2064.8000488281</v>
      </c>
      <c r="D81">
        <v>2362.6999999999998</v>
      </c>
      <c r="E81">
        <v>2368.3531356963999</v>
      </c>
      <c r="F81">
        <v>1991.24</v>
      </c>
      <c r="G81">
        <v>2026.85</v>
      </c>
      <c r="H81">
        <v>1691</v>
      </c>
      <c r="I81">
        <v>2368.3531356963999</v>
      </c>
      <c r="J81">
        <v>1830.8765058668</v>
      </c>
      <c r="K81">
        <v>2939.6173670271</v>
      </c>
      <c r="L81">
        <v>2213.9222724366</v>
      </c>
      <c r="M81">
        <v>154.43086325979999</v>
      </c>
      <c r="N81">
        <v>11.43</v>
      </c>
      <c r="O81">
        <v>1828.793403247048</v>
      </c>
      <c r="P81">
        <v>2300.806694409152</v>
      </c>
      <c r="Q81">
        <f t="shared" si="4"/>
        <v>373.80004882809999</v>
      </c>
      <c r="R81">
        <f t="shared" si="5"/>
        <v>0.18103450212540159</v>
      </c>
      <c r="S81">
        <f t="shared" si="6"/>
        <v>-303.55308686829994</v>
      </c>
      <c r="T81">
        <f t="shared" si="7"/>
        <v>-0.14701330864486603</v>
      </c>
    </row>
    <row r="82" spans="1:20" x14ac:dyDescent="0.3">
      <c r="A82" s="2">
        <v>45901</v>
      </c>
      <c r="B82" t="s">
        <v>22</v>
      </c>
      <c r="C82">
        <v>2024.9699707031</v>
      </c>
      <c r="D82">
        <v>2126.15</v>
      </c>
      <c r="E82">
        <v>2297.6684493189</v>
      </c>
      <c r="F82">
        <v>1828.46</v>
      </c>
      <c r="G82">
        <v>1900.925</v>
      </c>
      <c r="H82">
        <v>1675.7</v>
      </c>
      <c r="I82">
        <v>2297.6684493189</v>
      </c>
      <c r="J82">
        <v>1730.4691827899001</v>
      </c>
      <c r="K82">
        <v>2825.9703538084</v>
      </c>
      <c r="L82">
        <v>2228.9622030273999</v>
      </c>
      <c r="M82">
        <v>68.706246291499994</v>
      </c>
      <c r="N82">
        <v>11.43</v>
      </c>
      <c r="O82">
        <v>1793.5159030517359</v>
      </c>
      <c r="P82">
        <v>2256.4240383544638</v>
      </c>
      <c r="Q82">
        <f t="shared" si="4"/>
        <v>349.26997070309994</v>
      </c>
      <c r="R82">
        <f t="shared" si="5"/>
        <v>0.17248155565577505</v>
      </c>
      <c r="S82">
        <f t="shared" si="6"/>
        <v>-272.69847861580001</v>
      </c>
      <c r="T82">
        <f t="shared" si="7"/>
        <v>-0.13466791239433293</v>
      </c>
    </row>
    <row r="83" spans="1:20" x14ac:dyDescent="0.3">
      <c r="A83" s="2">
        <v>45931</v>
      </c>
      <c r="B83" t="s">
        <v>22</v>
      </c>
      <c r="C83">
        <v>2120.8400878906</v>
      </c>
      <c r="E83">
        <v>2363.9716075242</v>
      </c>
      <c r="F83">
        <v>2052.4</v>
      </c>
      <c r="G83">
        <v>2190.6999999999998</v>
      </c>
      <c r="H83">
        <v>1533.53</v>
      </c>
      <c r="I83">
        <v>2363.9716075242</v>
      </c>
      <c r="J83">
        <v>1810.2824647729001</v>
      </c>
      <c r="K83">
        <v>2920.4448799434999</v>
      </c>
      <c r="L83">
        <v>2243.5169745669</v>
      </c>
      <c r="M83">
        <v>120.45463295730001</v>
      </c>
      <c r="N83">
        <v>11.43</v>
      </c>
      <c r="O83">
        <v>1878.428065844704</v>
      </c>
      <c r="P83">
        <v>2363.2521099364958</v>
      </c>
      <c r="Q83">
        <f t="shared" si="4"/>
        <v>587.31008789060002</v>
      </c>
      <c r="R83">
        <f t="shared" si="5"/>
        <v>0.27692332450898838</v>
      </c>
      <c r="S83">
        <f t="shared" si="6"/>
        <v>-243.13151963359996</v>
      </c>
      <c r="T83">
        <f t="shared" si="7"/>
        <v>-0.11463925122021812</v>
      </c>
    </row>
    <row r="84" spans="1:20" x14ac:dyDescent="0.3">
      <c r="A84" s="2">
        <v>45962</v>
      </c>
      <c r="B84" t="s">
        <v>22</v>
      </c>
      <c r="C84">
        <v>1700.8757324219</v>
      </c>
      <c r="E84">
        <v>1995.7423401305</v>
      </c>
      <c r="F84">
        <v>1543.5574999999999</v>
      </c>
      <c r="G84">
        <v>1330.72</v>
      </c>
      <c r="H84">
        <v>1370.71</v>
      </c>
      <c r="I84">
        <v>1995.7423401305</v>
      </c>
      <c r="J84">
        <v>1433.9931251167</v>
      </c>
      <c r="K84">
        <v>2518.0146274121998</v>
      </c>
      <c r="L84">
        <v>2258.5569051576999</v>
      </c>
      <c r="M84">
        <v>-262.81456502719999</v>
      </c>
      <c r="N84">
        <v>11.43</v>
      </c>
      <c r="O84">
        <v>1506.4656362060771</v>
      </c>
      <c r="P84">
        <v>1895.2858286377229</v>
      </c>
      <c r="Q84">
        <f t="shared" si="4"/>
        <v>330.16573242189997</v>
      </c>
      <c r="R84">
        <f t="shared" si="5"/>
        <v>0.19411514088202816</v>
      </c>
      <c r="S84">
        <f t="shared" si="6"/>
        <v>-294.86660770859999</v>
      </c>
      <c r="T84">
        <f t="shared" si="7"/>
        <v>-0.17336164076415825</v>
      </c>
    </row>
    <row r="85" spans="1:20" x14ac:dyDescent="0.3">
      <c r="A85" s="2">
        <v>45992</v>
      </c>
      <c r="B85" t="s">
        <v>22</v>
      </c>
      <c r="C85">
        <v>1845.8089599609</v>
      </c>
      <c r="E85">
        <v>2245.4913073835</v>
      </c>
      <c r="F85">
        <v>1872.75</v>
      </c>
      <c r="G85">
        <v>1986.115</v>
      </c>
      <c r="H85">
        <v>1802.93</v>
      </c>
      <c r="I85">
        <v>2245.4913073835</v>
      </c>
      <c r="J85">
        <v>1665.1857819913</v>
      </c>
      <c r="K85">
        <v>2802.5746529007001</v>
      </c>
      <c r="L85">
        <v>2273.1116766972</v>
      </c>
      <c r="M85">
        <v>-27.620369313699999</v>
      </c>
      <c r="N85">
        <v>11.43</v>
      </c>
      <c r="O85">
        <v>1634.832995837369</v>
      </c>
      <c r="P85">
        <v>2056.7849240844312</v>
      </c>
      <c r="Q85">
        <f t="shared" si="4"/>
        <v>42.87895996089992</v>
      </c>
      <c r="R85">
        <f t="shared" si="5"/>
        <v>2.3230443069150682E-2</v>
      </c>
      <c r="S85">
        <f t="shared" si="6"/>
        <v>-399.68234742260006</v>
      </c>
      <c r="T85">
        <f t="shared" si="7"/>
        <v>-0.21653505649418159</v>
      </c>
    </row>
    <row r="86" spans="1:20" x14ac:dyDescent="0.3">
      <c r="A86" s="2">
        <v>45658</v>
      </c>
      <c r="B86" t="s">
        <v>23</v>
      </c>
      <c r="C86">
        <v>3249.5400390625</v>
      </c>
      <c r="D86">
        <v>3386.93</v>
      </c>
      <c r="E86">
        <v>2190.6728015590002</v>
      </c>
      <c r="F86">
        <v>1770.2159999999999</v>
      </c>
      <c r="G86">
        <v>2298.875</v>
      </c>
      <c r="H86">
        <v>1210.82</v>
      </c>
      <c r="I86">
        <v>2190.6728015590002</v>
      </c>
      <c r="J86">
        <v>1400.3741095928001</v>
      </c>
      <c r="K86">
        <v>2958.8067798567999</v>
      </c>
      <c r="L86">
        <v>2088.2211931288002</v>
      </c>
      <c r="M86">
        <v>102.4516084303</v>
      </c>
      <c r="N86">
        <v>24.58</v>
      </c>
      <c r="O86">
        <v>2450.8030974609369</v>
      </c>
      <c r="P86">
        <v>4048.2769806640631</v>
      </c>
      <c r="Q86">
        <f t="shared" si="4"/>
        <v>2038.7200390625001</v>
      </c>
      <c r="R86">
        <f t="shared" si="5"/>
        <v>0.62738726544531997</v>
      </c>
      <c r="S86">
        <f t="shared" si="6"/>
        <v>1058.8672375034998</v>
      </c>
      <c r="T86">
        <f t="shared" si="7"/>
        <v>0.32585142043948645</v>
      </c>
    </row>
    <row r="87" spans="1:20" x14ac:dyDescent="0.3">
      <c r="A87" s="2">
        <v>45689</v>
      </c>
      <c r="B87" t="s">
        <v>23</v>
      </c>
      <c r="C87">
        <v>1195.2600097656</v>
      </c>
      <c r="D87">
        <v>1184.29</v>
      </c>
      <c r="E87">
        <v>1408.0149860629999</v>
      </c>
      <c r="F87">
        <v>1732.9780000000001</v>
      </c>
      <c r="G87">
        <v>1544.23</v>
      </c>
      <c r="H87">
        <v>1904.17</v>
      </c>
      <c r="I87">
        <v>1408.0149860629999</v>
      </c>
      <c r="J87">
        <v>584.23207816930005</v>
      </c>
      <c r="K87">
        <v>2189.0220802794001</v>
      </c>
      <c r="L87">
        <v>2091.6221274208001</v>
      </c>
      <c r="M87">
        <v>-683.60714135770002</v>
      </c>
      <c r="N87">
        <v>24.58</v>
      </c>
      <c r="O87">
        <v>901.46509936521545</v>
      </c>
      <c r="P87">
        <v>1489.054920165984</v>
      </c>
      <c r="Q87">
        <f t="shared" si="4"/>
        <v>-708.90999023440008</v>
      </c>
      <c r="R87">
        <f t="shared" si="5"/>
        <v>-0.59310106959357156</v>
      </c>
      <c r="S87">
        <f t="shared" si="6"/>
        <v>-212.75497629739993</v>
      </c>
      <c r="T87">
        <f t="shared" si="7"/>
        <v>-0.17799890781849456</v>
      </c>
    </row>
    <row r="88" spans="1:20" x14ac:dyDescent="0.3">
      <c r="A88" s="2">
        <v>45717</v>
      </c>
      <c r="B88" t="s">
        <v>23</v>
      </c>
      <c r="C88">
        <v>2553.1899414062</v>
      </c>
      <c r="D88">
        <v>2881.7</v>
      </c>
      <c r="E88">
        <v>2028.513172788</v>
      </c>
      <c r="F88">
        <v>1972.3320000000001</v>
      </c>
      <c r="G88">
        <v>3156.98</v>
      </c>
      <c r="H88">
        <v>3432.26</v>
      </c>
      <c r="I88">
        <v>2028.513172788</v>
      </c>
      <c r="J88">
        <v>1230.0921823855999</v>
      </c>
      <c r="K88">
        <v>2872.9389474271002</v>
      </c>
      <c r="L88">
        <v>2094.6939390392999</v>
      </c>
      <c r="M88">
        <v>-66.1807662513</v>
      </c>
      <c r="N88">
        <v>24.58</v>
      </c>
      <c r="O88">
        <v>1925.615853808556</v>
      </c>
      <c r="P88">
        <v>3180.7640290038439</v>
      </c>
      <c r="Q88">
        <f t="shared" si="4"/>
        <v>-879.07005859380024</v>
      </c>
      <c r="R88">
        <f t="shared" si="5"/>
        <v>-0.34430264836060015</v>
      </c>
      <c r="S88">
        <f t="shared" si="6"/>
        <v>524.67676861819996</v>
      </c>
      <c r="T88">
        <f t="shared" si="7"/>
        <v>0.20549852563230292</v>
      </c>
    </row>
    <row r="89" spans="1:20" x14ac:dyDescent="0.3">
      <c r="A89" s="2">
        <v>45748</v>
      </c>
      <c r="B89" t="s">
        <v>23</v>
      </c>
      <c r="C89">
        <v>2075.4499511719</v>
      </c>
      <c r="D89">
        <v>1904.92</v>
      </c>
      <c r="E89">
        <v>2230.8038519813999</v>
      </c>
      <c r="F89">
        <v>2071.692</v>
      </c>
      <c r="G89">
        <v>2609.3649999999998</v>
      </c>
      <c r="H89">
        <v>3313.81</v>
      </c>
      <c r="I89">
        <v>2230.8038519813999</v>
      </c>
      <c r="J89">
        <v>1345.6969171866999</v>
      </c>
      <c r="K89">
        <v>3032.2571999917</v>
      </c>
      <c r="L89">
        <v>2098.0948733312998</v>
      </c>
      <c r="M89">
        <v>132.70897865009999</v>
      </c>
      <c r="N89">
        <v>24.58</v>
      </c>
      <c r="O89">
        <v>1565.3043531738469</v>
      </c>
      <c r="P89">
        <v>2585.5955491699528</v>
      </c>
      <c r="Q89">
        <f t="shared" si="4"/>
        <v>-1238.3600488280999</v>
      </c>
      <c r="R89">
        <f t="shared" si="5"/>
        <v>-0.59667063912038043</v>
      </c>
      <c r="S89">
        <f t="shared" si="6"/>
        <v>-155.35390080949992</v>
      </c>
      <c r="T89">
        <f t="shared" si="7"/>
        <v>-7.4853118342737945E-2</v>
      </c>
    </row>
    <row r="90" spans="1:20" x14ac:dyDescent="0.3">
      <c r="A90" s="2">
        <v>45778</v>
      </c>
      <c r="B90" t="s">
        <v>23</v>
      </c>
      <c r="C90">
        <v>1980.1700439453</v>
      </c>
      <c r="D90">
        <v>2466.58</v>
      </c>
      <c r="E90">
        <v>2504.0374683958999</v>
      </c>
      <c r="F90">
        <v>2348.9679999999998</v>
      </c>
      <c r="G90">
        <v>2756.82</v>
      </c>
      <c r="H90">
        <v>3047.06</v>
      </c>
      <c r="I90">
        <v>2504.0374683958999</v>
      </c>
      <c r="J90">
        <v>1682.3092360552</v>
      </c>
      <c r="K90">
        <v>3231.5106489707</v>
      </c>
      <c r="L90">
        <v>2101.3861000655002</v>
      </c>
      <c r="M90">
        <v>402.65136833029999</v>
      </c>
      <c r="N90">
        <v>24.58</v>
      </c>
      <c r="O90">
        <v>1493.444247143545</v>
      </c>
      <c r="P90">
        <v>2466.895840747055</v>
      </c>
      <c r="Q90">
        <f t="shared" si="4"/>
        <v>-1066.8899560547</v>
      </c>
      <c r="R90">
        <f t="shared" si="5"/>
        <v>-0.53878703968727026</v>
      </c>
      <c r="S90">
        <f t="shared" si="6"/>
        <v>-523.86742445059986</v>
      </c>
      <c r="T90">
        <f t="shared" si="7"/>
        <v>-0.2645567869549445</v>
      </c>
    </row>
    <row r="91" spans="1:20" x14ac:dyDescent="0.3">
      <c r="A91" s="2">
        <v>45809</v>
      </c>
      <c r="B91" t="s">
        <v>23</v>
      </c>
      <c r="C91">
        <v>2246.6899414062</v>
      </c>
      <c r="D91">
        <v>2610.23</v>
      </c>
      <c r="E91">
        <v>2296.5847503834002</v>
      </c>
      <c r="F91">
        <v>2182.1979999999999</v>
      </c>
      <c r="G91">
        <v>2693.84</v>
      </c>
      <c r="H91">
        <v>2777.45</v>
      </c>
      <c r="I91">
        <v>2296.5847503834002</v>
      </c>
      <c r="J91">
        <v>1516.7672580552</v>
      </c>
      <c r="K91">
        <v>3076.7564410222999</v>
      </c>
      <c r="L91">
        <v>2104.7870343575</v>
      </c>
      <c r="M91">
        <v>191.7977160259</v>
      </c>
      <c r="N91">
        <v>24.58</v>
      </c>
      <c r="O91">
        <v>1694.4535538085561</v>
      </c>
      <c r="P91">
        <v>2798.9263290038439</v>
      </c>
      <c r="Q91">
        <f t="shared" si="4"/>
        <v>-530.76005859379984</v>
      </c>
      <c r="R91">
        <f t="shared" si="5"/>
        <v>-0.23624090214317597</v>
      </c>
      <c r="S91">
        <f t="shared" si="6"/>
        <v>-49.894808977200228</v>
      </c>
      <c r="T91">
        <f t="shared" si="7"/>
        <v>-2.2208141879146499E-2</v>
      </c>
    </row>
    <row r="92" spans="1:20" x14ac:dyDescent="0.3">
      <c r="A92" s="2">
        <v>45839</v>
      </c>
      <c r="B92" t="s">
        <v>23</v>
      </c>
      <c r="C92">
        <v>1884.1500244141</v>
      </c>
      <c r="D92">
        <v>1009.52</v>
      </c>
      <c r="E92">
        <v>1382.4196485079001</v>
      </c>
      <c r="F92">
        <v>1465.3779999999999</v>
      </c>
      <c r="G92">
        <v>1060.855</v>
      </c>
      <c r="H92">
        <v>1112.19</v>
      </c>
      <c r="I92">
        <v>1382.4196485079001</v>
      </c>
      <c r="J92">
        <v>586.93259538259997</v>
      </c>
      <c r="K92">
        <v>2161.0531117326</v>
      </c>
      <c r="L92">
        <v>2108.0782610916999</v>
      </c>
      <c r="M92">
        <v>-725.65861258380005</v>
      </c>
      <c r="N92">
        <v>24.58</v>
      </c>
      <c r="O92">
        <v>1421.0259484131141</v>
      </c>
      <c r="P92">
        <v>2347.2741004150862</v>
      </c>
      <c r="Q92">
        <f t="shared" si="4"/>
        <v>771.96002441409996</v>
      </c>
      <c r="R92">
        <f t="shared" si="5"/>
        <v>0.40971261014852073</v>
      </c>
      <c r="S92">
        <f t="shared" si="6"/>
        <v>501.73037590619992</v>
      </c>
      <c r="T92">
        <f t="shared" si="7"/>
        <v>0.2662900349786208</v>
      </c>
    </row>
    <row r="93" spans="1:20" x14ac:dyDescent="0.3">
      <c r="A93" s="2">
        <v>45870</v>
      </c>
      <c r="B93" t="s">
        <v>23</v>
      </c>
      <c r="C93">
        <v>2104.7600097656</v>
      </c>
      <c r="D93">
        <v>2018.63</v>
      </c>
      <c r="E93">
        <v>2116.3067569455002</v>
      </c>
      <c r="F93">
        <v>2046.0060000000001</v>
      </c>
      <c r="G93">
        <v>1820.5050000000001</v>
      </c>
      <c r="H93">
        <v>1622.38</v>
      </c>
      <c r="I93">
        <v>2116.3067569455002</v>
      </c>
      <c r="J93">
        <v>1321.8438270955</v>
      </c>
      <c r="K93">
        <v>2933.7417109828998</v>
      </c>
      <c r="L93">
        <v>2111.4791953836998</v>
      </c>
      <c r="M93">
        <v>4.8275615617999996</v>
      </c>
      <c r="N93">
        <v>24.58</v>
      </c>
      <c r="O93">
        <v>1587.409999365216</v>
      </c>
      <c r="P93">
        <v>2622.1100201659851</v>
      </c>
      <c r="Q93">
        <f t="shared" si="4"/>
        <v>482.38000976559988</v>
      </c>
      <c r="R93">
        <f t="shared" si="5"/>
        <v>0.22918527885719422</v>
      </c>
      <c r="S93">
        <f t="shared" si="6"/>
        <v>-11.546747179900194</v>
      </c>
      <c r="T93">
        <f t="shared" si="7"/>
        <v>-5.486016042839068E-3</v>
      </c>
    </row>
    <row r="94" spans="1:20" x14ac:dyDescent="0.3">
      <c r="A94" s="2">
        <v>45901</v>
      </c>
      <c r="B94" t="s">
        <v>23</v>
      </c>
      <c r="C94">
        <v>2203.4899902344</v>
      </c>
      <c r="D94">
        <v>1375.04</v>
      </c>
      <c r="E94">
        <v>2409.2856074514998</v>
      </c>
      <c r="F94">
        <v>2237.8820000000001</v>
      </c>
      <c r="G94">
        <v>1662.4</v>
      </c>
      <c r="H94">
        <v>1949.76</v>
      </c>
      <c r="I94">
        <v>2409.2856074514998</v>
      </c>
      <c r="J94">
        <v>1622.0755874706999</v>
      </c>
      <c r="K94">
        <v>3197.7648856507999</v>
      </c>
      <c r="L94">
        <v>2114.8801296757001</v>
      </c>
      <c r="M94">
        <v>294.40547777580002</v>
      </c>
      <c r="N94">
        <v>24.58</v>
      </c>
      <c r="O94">
        <v>1661.872150634784</v>
      </c>
      <c r="P94">
        <v>2745.1078298340158</v>
      </c>
      <c r="Q94">
        <f t="shared" si="4"/>
        <v>253.72999023440002</v>
      </c>
      <c r="R94">
        <f t="shared" si="5"/>
        <v>0.11514914583633259</v>
      </c>
      <c r="S94">
        <f t="shared" si="6"/>
        <v>-205.79561721709979</v>
      </c>
      <c r="T94">
        <f t="shared" si="7"/>
        <v>-9.3395303872112409E-2</v>
      </c>
    </row>
    <row r="95" spans="1:20" x14ac:dyDescent="0.3">
      <c r="A95" s="2">
        <v>45931</v>
      </c>
      <c r="B95" t="s">
        <v>23</v>
      </c>
      <c r="C95">
        <v>1455.0895996094</v>
      </c>
      <c r="E95">
        <v>2462.6580984558</v>
      </c>
      <c r="F95">
        <v>2383.8775000000001</v>
      </c>
      <c r="G95">
        <v>2839.31</v>
      </c>
      <c r="H95">
        <v>2244.65</v>
      </c>
      <c r="I95">
        <v>2462.6580984558</v>
      </c>
      <c r="J95">
        <v>1656.2867724309999</v>
      </c>
      <c r="K95">
        <v>3276.6432980948998</v>
      </c>
      <c r="L95">
        <v>2118.1713564099</v>
      </c>
      <c r="M95">
        <v>344.48674204600002</v>
      </c>
      <c r="N95">
        <v>24.58</v>
      </c>
      <c r="O95">
        <v>1097.428576025409</v>
      </c>
      <c r="P95">
        <v>1812.750623193391</v>
      </c>
      <c r="Q95">
        <f t="shared" si="4"/>
        <v>-789.56040039060008</v>
      </c>
      <c r="R95">
        <f t="shared" si="5"/>
        <v>-0.54261978135404676</v>
      </c>
      <c r="S95">
        <f t="shared" si="6"/>
        <v>-1007.5684988464</v>
      </c>
      <c r="T95">
        <f t="shared" si="7"/>
        <v>-0.69244429973031807</v>
      </c>
    </row>
    <row r="96" spans="1:20" x14ac:dyDescent="0.3">
      <c r="A96" s="2">
        <v>45962</v>
      </c>
      <c r="B96" t="s">
        <v>23</v>
      </c>
      <c r="C96">
        <v>1736.7313232422</v>
      </c>
      <c r="E96">
        <v>2013.834894026</v>
      </c>
      <c r="F96">
        <v>1889.0350000000001</v>
      </c>
      <c r="G96">
        <v>2007.625</v>
      </c>
      <c r="H96">
        <v>1815.87</v>
      </c>
      <c r="I96">
        <v>2013.834894026</v>
      </c>
      <c r="J96">
        <v>1243.1942783953</v>
      </c>
      <c r="K96">
        <v>2770.6601275870999</v>
      </c>
      <c r="L96">
        <v>2121.5722907017998</v>
      </c>
      <c r="M96">
        <v>-107.7373966758</v>
      </c>
      <c r="N96">
        <v>24.58</v>
      </c>
      <c r="O96">
        <v>1309.842763989267</v>
      </c>
      <c r="P96">
        <v>2163.619882495133</v>
      </c>
      <c r="Q96">
        <f t="shared" si="4"/>
        <v>-79.138676757799885</v>
      </c>
      <c r="R96">
        <f t="shared" si="5"/>
        <v>-4.5567599143695188E-2</v>
      </c>
      <c r="S96">
        <f t="shared" si="6"/>
        <v>-277.10357078380002</v>
      </c>
      <c r="T96">
        <f t="shared" si="7"/>
        <v>-0.15955465711673347</v>
      </c>
    </row>
    <row r="97" spans="1:20" x14ac:dyDescent="0.3">
      <c r="A97" s="2">
        <v>45992</v>
      </c>
      <c r="B97" t="s">
        <v>23</v>
      </c>
      <c r="C97">
        <v>2766.1357421875</v>
      </c>
      <c r="E97">
        <v>2179.4525169705998</v>
      </c>
      <c r="F97">
        <v>2123.0925000000002</v>
      </c>
      <c r="G97">
        <v>2443.4050000000002</v>
      </c>
      <c r="H97">
        <v>2315.0300000000002</v>
      </c>
      <c r="I97">
        <v>2179.4525169705998</v>
      </c>
      <c r="J97">
        <v>1430.5290929201001</v>
      </c>
      <c r="K97">
        <v>2959.3186726184999</v>
      </c>
      <c r="L97">
        <v>2124.8635174360002</v>
      </c>
      <c r="M97">
        <v>54.588999534599999</v>
      </c>
      <c r="N97">
        <v>24.58</v>
      </c>
      <c r="O97">
        <v>2086.2195767578119</v>
      </c>
      <c r="P97">
        <v>3446.0519076171881</v>
      </c>
      <c r="Q97">
        <f t="shared" si="4"/>
        <v>451.1057421874998</v>
      </c>
      <c r="R97">
        <f t="shared" si="5"/>
        <v>0.16308156368015364</v>
      </c>
      <c r="S97">
        <f t="shared" si="6"/>
        <v>586.68322521690015</v>
      </c>
      <c r="T97">
        <f t="shared" si="7"/>
        <v>0.21209487888433942</v>
      </c>
    </row>
    <row r="98" spans="1:20" x14ac:dyDescent="0.3">
      <c r="A98" s="2">
        <v>45658</v>
      </c>
      <c r="B98" t="s">
        <v>24</v>
      </c>
      <c r="C98">
        <v>17850.119140625</v>
      </c>
      <c r="D98">
        <v>17407.12</v>
      </c>
      <c r="E98">
        <v>17431.787016992599</v>
      </c>
      <c r="F98">
        <v>17114.583999999999</v>
      </c>
      <c r="G98">
        <v>16040.47</v>
      </c>
      <c r="H98">
        <v>14673.82</v>
      </c>
      <c r="I98">
        <v>17431.787016992599</v>
      </c>
      <c r="J98">
        <v>14532.4398773135</v>
      </c>
      <c r="K98">
        <v>20033.088643429299</v>
      </c>
      <c r="L98">
        <v>14874.078345935601</v>
      </c>
      <c r="M98">
        <v>2557.7086710570002</v>
      </c>
      <c r="N98">
        <v>7.64</v>
      </c>
      <c r="O98">
        <v>16486.370038281249</v>
      </c>
      <c r="P98">
        <v>19213.868242968751</v>
      </c>
      <c r="Q98">
        <f t="shared" si="4"/>
        <v>3176.2991406250003</v>
      </c>
      <c r="R98">
        <f t="shared" si="5"/>
        <v>0.17794274175997382</v>
      </c>
      <c r="S98">
        <f t="shared" si="6"/>
        <v>418.33212363240091</v>
      </c>
      <c r="T98">
        <f t="shared" si="7"/>
        <v>2.3435816889329376E-2</v>
      </c>
    </row>
    <row r="99" spans="1:20" x14ac:dyDescent="0.3">
      <c r="A99" s="2">
        <v>45689</v>
      </c>
      <c r="B99" t="s">
        <v>24</v>
      </c>
      <c r="C99">
        <v>13972.0302734375</v>
      </c>
      <c r="D99">
        <v>13245.82</v>
      </c>
      <c r="E99">
        <v>16141.3223445153</v>
      </c>
      <c r="F99">
        <v>15572.582</v>
      </c>
      <c r="G99">
        <v>12724.51</v>
      </c>
      <c r="H99">
        <v>12203.2</v>
      </c>
      <c r="I99">
        <v>16141.3223445153</v>
      </c>
      <c r="J99">
        <v>13403.121286642299</v>
      </c>
      <c r="K99">
        <v>18969.240539817099</v>
      </c>
      <c r="L99">
        <v>14872.7565125321</v>
      </c>
      <c r="M99">
        <v>1268.5658319832</v>
      </c>
      <c r="N99">
        <v>7.64</v>
      </c>
      <c r="O99">
        <v>12904.567160546871</v>
      </c>
      <c r="P99">
        <v>15039.493386328129</v>
      </c>
      <c r="Q99">
        <f t="shared" si="4"/>
        <v>1768.8302734374993</v>
      </c>
      <c r="R99">
        <f t="shared" si="5"/>
        <v>0.12659794166065164</v>
      </c>
      <c r="S99">
        <f t="shared" si="6"/>
        <v>-2169.2920710777998</v>
      </c>
      <c r="T99">
        <f t="shared" si="7"/>
        <v>-0.15525961715112252</v>
      </c>
    </row>
    <row r="100" spans="1:20" x14ac:dyDescent="0.3">
      <c r="A100" s="2">
        <v>45717</v>
      </c>
      <c r="B100" t="s">
        <v>24</v>
      </c>
      <c r="C100">
        <v>16911.189453125</v>
      </c>
      <c r="D100">
        <v>16856.86</v>
      </c>
      <c r="E100">
        <v>14999.0349981659</v>
      </c>
      <c r="F100">
        <v>14962.472</v>
      </c>
      <c r="G100">
        <v>18295.3</v>
      </c>
      <c r="H100">
        <v>19733.740000000002</v>
      </c>
      <c r="I100">
        <v>14999.0349981659</v>
      </c>
      <c r="J100">
        <v>12382.489351124201</v>
      </c>
      <c r="K100">
        <v>17888.650114215699</v>
      </c>
      <c r="L100">
        <v>14871.5625984901</v>
      </c>
      <c r="M100">
        <v>127.47239967580001</v>
      </c>
      <c r="N100">
        <v>7.64</v>
      </c>
      <c r="O100">
        <v>15619.17457890625</v>
      </c>
      <c r="P100">
        <v>18203.204327343748</v>
      </c>
      <c r="Q100">
        <f t="shared" si="4"/>
        <v>-2822.5505468750016</v>
      </c>
      <c r="R100">
        <f t="shared" si="5"/>
        <v>-0.16690431827392399</v>
      </c>
      <c r="S100">
        <f t="shared" si="6"/>
        <v>1912.1544549590999</v>
      </c>
      <c r="T100">
        <f t="shared" si="7"/>
        <v>0.11307037037573693</v>
      </c>
    </row>
    <row r="101" spans="1:20" x14ac:dyDescent="0.3">
      <c r="A101" s="2">
        <v>45748</v>
      </c>
      <c r="B101" t="s">
        <v>24</v>
      </c>
      <c r="C101">
        <v>13999.4599609375</v>
      </c>
      <c r="D101">
        <v>13929.64</v>
      </c>
      <c r="E101">
        <v>13908.8208188112</v>
      </c>
      <c r="F101">
        <v>13973.816000000001</v>
      </c>
      <c r="G101">
        <v>14426.46</v>
      </c>
      <c r="H101">
        <v>14923.28</v>
      </c>
      <c r="I101">
        <v>13908.8208188112</v>
      </c>
      <c r="J101">
        <v>11201.0953778475</v>
      </c>
      <c r="K101">
        <v>16724.019418727999</v>
      </c>
      <c r="L101">
        <v>14870.240765086501</v>
      </c>
      <c r="M101">
        <v>-961.41994627530005</v>
      </c>
      <c r="N101">
        <v>7.64</v>
      </c>
      <c r="O101">
        <v>12929.901219921871</v>
      </c>
      <c r="P101">
        <v>15069.018701953129</v>
      </c>
      <c r="Q101">
        <f t="shared" si="4"/>
        <v>-923.82003906250065</v>
      </c>
      <c r="R101">
        <f t="shared" si="5"/>
        <v>-6.5989691148103061E-2</v>
      </c>
      <c r="S101">
        <f t="shared" si="6"/>
        <v>90.639142126299703</v>
      </c>
      <c r="T101">
        <f t="shared" si="7"/>
        <v>6.4744741853763541E-3</v>
      </c>
    </row>
    <row r="102" spans="1:20" x14ac:dyDescent="0.3">
      <c r="A102" s="2">
        <v>45778</v>
      </c>
      <c r="B102" t="s">
        <v>24</v>
      </c>
      <c r="C102">
        <v>15736.6201171875</v>
      </c>
      <c r="D102">
        <v>15883.22</v>
      </c>
      <c r="E102">
        <v>15366.0835893519</v>
      </c>
      <c r="F102">
        <v>15652.023999999999</v>
      </c>
      <c r="G102">
        <v>16221.264999999999</v>
      </c>
      <c r="H102">
        <v>16559.310000000001</v>
      </c>
      <c r="I102">
        <v>15366.0835893519</v>
      </c>
      <c r="J102">
        <v>12754.960531906099</v>
      </c>
      <c r="K102">
        <v>18079.481482875999</v>
      </c>
      <c r="L102">
        <v>14868.961571470199</v>
      </c>
      <c r="M102">
        <v>497.1220178817</v>
      </c>
      <c r="N102">
        <v>7.64</v>
      </c>
      <c r="O102">
        <v>14534.342340234371</v>
      </c>
      <c r="P102">
        <v>16938.89789414062</v>
      </c>
      <c r="Q102">
        <f t="shared" si="4"/>
        <v>-822.68988281250131</v>
      </c>
      <c r="R102">
        <f t="shared" si="5"/>
        <v>-5.2278689876612154E-2</v>
      </c>
      <c r="S102">
        <f t="shared" si="6"/>
        <v>370.53652783560028</v>
      </c>
      <c r="T102">
        <f t="shared" si="7"/>
        <v>2.3546131575667963E-2</v>
      </c>
    </row>
    <row r="103" spans="1:20" x14ac:dyDescent="0.3">
      <c r="A103" s="2">
        <v>45809</v>
      </c>
      <c r="B103" t="s">
        <v>24</v>
      </c>
      <c r="C103">
        <v>14533.849609375</v>
      </c>
      <c r="D103">
        <v>14289.58</v>
      </c>
      <c r="E103">
        <v>15297.8149459859</v>
      </c>
      <c r="F103">
        <v>15322.656000000001</v>
      </c>
      <c r="G103">
        <v>15717.965</v>
      </c>
      <c r="H103">
        <v>17146.349999999999</v>
      </c>
      <c r="I103">
        <v>15297.8149459859</v>
      </c>
      <c r="J103">
        <v>12465.5337991752</v>
      </c>
      <c r="K103">
        <v>17976.8626184274</v>
      </c>
      <c r="L103">
        <v>14867.6397380666</v>
      </c>
      <c r="M103">
        <v>430.17520791930002</v>
      </c>
      <c r="N103">
        <v>7.64</v>
      </c>
      <c r="O103">
        <v>13423.463499218749</v>
      </c>
      <c r="P103">
        <v>15644.235719531251</v>
      </c>
      <c r="Q103">
        <f t="shared" si="4"/>
        <v>-2612.5003906249985</v>
      </c>
      <c r="R103">
        <f t="shared" si="5"/>
        <v>-0.17975281572611126</v>
      </c>
      <c r="S103">
        <f t="shared" si="6"/>
        <v>-763.96533661089961</v>
      </c>
      <c r="T103">
        <f t="shared" si="7"/>
        <v>-5.256455496265125E-2</v>
      </c>
    </row>
    <row r="104" spans="1:20" x14ac:dyDescent="0.3">
      <c r="A104" s="2">
        <v>45839</v>
      </c>
      <c r="B104" t="s">
        <v>24</v>
      </c>
      <c r="C104">
        <v>15640.48046875</v>
      </c>
      <c r="D104">
        <v>14372.76</v>
      </c>
      <c r="E104">
        <v>15232.950978643299</v>
      </c>
      <c r="F104">
        <v>15243.066000000001</v>
      </c>
      <c r="G104">
        <v>14063.915000000001</v>
      </c>
      <c r="H104">
        <v>13755.07</v>
      </c>
      <c r="I104">
        <v>15232.950978643299</v>
      </c>
      <c r="J104">
        <v>12471.1100635231</v>
      </c>
      <c r="K104">
        <v>17797.897435516399</v>
      </c>
      <c r="L104">
        <v>14866.360544450201</v>
      </c>
      <c r="M104">
        <v>366.59043419310001</v>
      </c>
      <c r="N104">
        <v>7.64</v>
      </c>
      <c r="O104">
        <v>14445.547760937499</v>
      </c>
      <c r="P104">
        <v>16835.413176562499</v>
      </c>
      <c r="Q104">
        <f t="shared" si="4"/>
        <v>1885.4104687500003</v>
      </c>
      <c r="R104">
        <f t="shared" si="5"/>
        <v>0.12054683822003352</v>
      </c>
      <c r="S104">
        <f t="shared" si="6"/>
        <v>407.52949010670091</v>
      </c>
      <c r="T104">
        <f t="shared" si="7"/>
        <v>2.6056072313184572E-2</v>
      </c>
    </row>
    <row r="105" spans="1:20" x14ac:dyDescent="0.3">
      <c r="A105" s="2">
        <v>45870</v>
      </c>
      <c r="B105" t="s">
        <v>24</v>
      </c>
      <c r="C105">
        <v>16665.349609375</v>
      </c>
      <c r="D105">
        <v>18195.439999999999</v>
      </c>
      <c r="E105">
        <v>15038.3891828874</v>
      </c>
      <c r="F105">
        <v>14977.156000000001</v>
      </c>
      <c r="G105">
        <v>14776.96</v>
      </c>
      <c r="H105">
        <v>11358.48</v>
      </c>
      <c r="I105">
        <v>15038.3891828874</v>
      </c>
      <c r="J105">
        <v>12326.4974599169</v>
      </c>
      <c r="K105">
        <v>17782.077578059299</v>
      </c>
      <c r="L105">
        <v>14865.0387110466</v>
      </c>
      <c r="M105">
        <v>173.3504718408</v>
      </c>
      <c r="N105">
        <v>7.64</v>
      </c>
      <c r="O105">
        <v>15392.11689921875</v>
      </c>
      <c r="P105">
        <v>17938.582319531251</v>
      </c>
      <c r="Q105">
        <f t="shared" si="4"/>
        <v>5306.8696093750004</v>
      </c>
      <c r="R105">
        <f t="shared" si="5"/>
        <v>0.31843734057578066</v>
      </c>
      <c r="S105">
        <f t="shared" si="6"/>
        <v>1626.9604264875998</v>
      </c>
      <c r="T105">
        <f t="shared" si="7"/>
        <v>9.7625340279231962E-2</v>
      </c>
    </row>
    <row r="106" spans="1:20" x14ac:dyDescent="0.3">
      <c r="A106" s="2">
        <v>45901</v>
      </c>
      <c r="B106" t="s">
        <v>24</v>
      </c>
      <c r="C106">
        <v>15640.48046875</v>
      </c>
      <c r="D106">
        <v>14599.71</v>
      </c>
      <c r="E106">
        <v>15598.895044042099</v>
      </c>
      <c r="F106">
        <v>15368.714</v>
      </c>
      <c r="G106">
        <v>13436.17</v>
      </c>
      <c r="H106">
        <v>12272.63</v>
      </c>
      <c r="I106">
        <v>15598.895044042099</v>
      </c>
      <c r="J106">
        <v>12983.3869672375</v>
      </c>
      <c r="K106">
        <v>18397.601649104599</v>
      </c>
      <c r="L106">
        <v>14863.716877643101</v>
      </c>
      <c r="M106">
        <v>735.17816639900002</v>
      </c>
      <c r="N106">
        <v>7.64</v>
      </c>
      <c r="O106">
        <v>14445.547760937499</v>
      </c>
      <c r="P106">
        <v>16835.413176562499</v>
      </c>
      <c r="Q106">
        <f t="shared" si="4"/>
        <v>3367.8504687500008</v>
      </c>
      <c r="R106">
        <f t="shared" si="5"/>
        <v>0.21532909270140613</v>
      </c>
      <c r="S106">
        <f t="shared" si="6"/>
        <v>41.585424707900529</v>
      </c>
      <c r="T106">
        <f t="shared" si="7"/>
        <v>2.658832942567785E-3</v>
      </c>
    </row>
    <row r="107" spans="1:20" x14ac:dyDescent="0.3">
      <c r="A107" s="2">
        <v>45931</v>
      </c>
      <c r="B107" t="s">
        <v>24</v>
      </c>
      <c r="C107">
        <v>15659.0048828125</v>
      </c>
      <c r="E107">
        <v>15547.3448177913</v>
      </c>
      <c r="F107">
        <v>15712.11</v>
      </c>
      <c r="G107">
        <v>17514.73</v>
      </c>
      <c r="H107">
        <v>14838.54</v>
      </c>
      <c r="I107">
        <v>15547.3448177913</v>
      </c>
      <c r="J107">
        <v>12867.2337644627</v>
      </c>
      <c r="K107">
        <v>18253.603617263099</v>
      </c>
      <c r="L107">
        <v>14862.4376840267</v>
      </c>
      <c r="M107">
        <v>684.90713376459996</v>
      </c>
      <c r="N107">
        <v>7.64</v>
      </c>
      <c r="O107">
        <v>14462.656909765619</v>
      </c>
      <c r="P107">
        <v>16855.352855859379</v>
      </c>
      <c r="Q107">
        <f t="shared" si="4"/>
        <v>820.46488281249913</v>
      </c>
      <c r="R107">
        <f t="shared" si="5"/>
        <v>5.239572303301665E-2</v>
      </c>
      <c r="S107">
        <f t="shared" si="6"/>
        <v>111.66006502120035</v>
      </c>
      <c r="T107">
        <f t="shared" si="7"/>
        <v>7.1307254743728761E-3</v>
      </c>
    </row>
    <row r="108" spans="1:20" x14ac:dyDescent="0.3">
      <c r="A108" s="2">
        <v>45962</v>
      </c>
      <c r="B108" t="s">
        <v>24</v>
      </c>
      <c r="C108">
        <v>15990.1748046875</v>
      </c>
      <c r="E108">
        <v>14234.8030587618</v>
      </c>
      <c r="F108">
        <v>14453.1075</v>
      </c>
      <c r="G108">
        <v>15234.8</v>
      </c>
      <c r="H108">
        <v>14140.25</v>
      </c>
      <c r="I108">
        <v>14234.8030587618</v>
      </c>
      <c r="J108">
        <v>11518.3049574139</v>
      </c>
      <c r="K108">
        <v>17000.053761049301</v>
      </c>
      <c r="L108">
        <v>14861.1158506231</v>
      </c>
      <c r="M108">
        <v>-626.31279186129996</v>
      </c>
      <c r="N108">
        <v>7.64</v>
      </c>
      <c r="O108">
        <v>14768.525449609369</v>
      </c>
      <c r="P108">
        <v>17211.824159765631</v>
      </c>
      <c r="Q108">
        <f t="shared" si="4"/>
        <v>1849.9248046875</v>
      </c>
      <c r="R108">
        <f t="shared" si="5"/>
        <v>0.11569134342078592</v>
      </c>
      <c r="S108">
        <f t="shared" si="6"/>
        <v>1755.3717459257005</v>
      </c>
      <c r="T108">
        <f t="shared" si="7"/>
        <v>0.10977814610326307</v>
      </c>
    </row>
    <row r="109" spans="1:20" x14ac:dyDescent="0.3">
      <c r="A109" s="2">
        <v>45992</v>
      </c>
      <c r="B109" t="s">
        <v>24</v>
      </c>
      <c r="C109">
        <v>15410.8564453125</v>
      </c>
      <c r="E109">
        <v>15235.7198939724</v>
      </c>
      <c r="F109">
        <v>15615.625</v>
      </c>
      <c r="G109">
        <v>14982.965</v>
      </c>
      <c r="H109">
        <v>15052.5</v>
      </c>
      <c r="I109">
        <v>15235.7198939724</v>
      </c>
      <c r="J109">
        <v>12634.2182312361</v>
      </c>
      <c r="K109">
        <v>18060.5457508572</v>
      </c>
      <c r="L109">
        <v>14859.836657006699</v>
      </c>
      <c r="M109">
        <v>375.88323696570001</v>
      </c>
      <c r="N109">
        <v>7.64</v>
      </c>
      <c r="O109">
        <v>14233.467012890629</v>
      </c>
      <c r="P109">
        <v>16588.245877734371</v>
      </c>
      <c r="Q109">
        <f t="shared" si="4"/>
        <v>358.3564453125</v>
      </c>
      <c r="R109">
        <f t="shared" si="5"/>
        <v>2.3253506161982372E-2</v>
      </c>
      <c r="S109">
        <f t="shared" si="6"/>
        <v>175.13655134009969</v>
      </c>
      <c r="T109">
        <f t="shared" si="7"/>
        <v>1.1364491776404207E-2</v>
      </c>
    </row>
    <row r="110" spans="1:20" x14ac:dyDescent="0.3">
      <c r="A110" s="2">
        <v>45658</v>
      </c>
      <c r="B110" t="s">
        <v>25</v>
      </c>
      <c r="C110">
        <v>8236.6904296875</v>
      </c>
      <c r="D110">
        <v>8314.7900000000009</v>
      </c>
      <c r="E110">
        <v>7738.0251181592002</v>
      </c>
      <c r="F110">
        <v>7776.8280000000004</v>
      </c>
      <c r="G110">
        <v>6903.3249999999998</v>
      </c>
      <c r="H110">
        <v>5491.86</v>
      </c>
      <c r="I110">
        <v>7738.0251181592002</v>
      </c>
      <c r="J110">
        <v>6040.2560176147999</v>
      </c>
      <c r="K110">
        <v>9376.0607163039003</v>
      </c>
      <c r="L110">
        <v>7601.6289899806998</v>
      </c>
      <c r="M110">
        <v>136.39612817849999</v>
      </c>
      <c r="N110">
        <v>11.17</v>
      </c>
      <c r="O110">
        <v>7316.6521086914063</v>
      </c>
      <c r="P110">
        <v>9156.7287506835928</v>
      </c>
      <c r="Q110">
        <f t="shared" si="4"/>
        <v>2744.8304296875003</v>
      </c>
      <c r="R110">
        <f t="shared" si="5"/>
        <v>0.33324433558827332</v>
      </c>
      <c r="S110">
        <f t="shared" si="6"/>
        <v>498.66531152829975</v>
      </c>
      <c r="T110">
        <f t="shared" si="7"/>
        <v>6.0541951380248621E-2</v>
      </c>
    </row>
    <row r="111" spans="1:20" x14ac:dyDescent="0.3">
      <c r="A111" s="2">
        <v>45689</v>
      </c>
      <c r="B111" t="s">
        <v>25</v>
      </c>
      <c r="C111">
        <v>7744.5498046875</v>
      </c>
      <c r="D111">
        <v>6944.15</v>
      </c>
      <c r="E111">
        <v>7955.8062454966002</v>
      </c>
      <c r="F111">
        <v>8011.674</v>
      </c>
      <c r="G111">
        <v>6596.1949999999997</v>
      </c>
      <c r="H111">
        <v>6248.24</v>
      </c>
      <c r="I111">
        <v>7955.8062454966002</v>
      </c>
      <c r="J111">
        <v>6302.2455890117999</v>
      </c>
      <c r="K111">
        <v>9625.2400977268007</v>
      </c>
      <c r="L111">
        <v>7599.4571078711997</v>
      </c>
      <c r="M111">
        <v>356.34913762539998</v>
      </c>
      <c r="N111">
        <v>11.17</v>
      </c>
      <c r="O111">
        <v>6879.4835915039057</v>
      </c>
      <c r="P111">
        <v>8609.6160178710925</v>
      </c>
      <c r="Q111">
        <f t="shared" si="4"/>
        <v>1496.3098046875002</v>
      </c>
      <c r="R111">
        <f t="shared" si="5"/>
        <v>0.19320810665867721</v>
      </c>
      <c r="S111">
        <f t="shared" si="6"/>
        <v>-211.25644080910024</v>
      </c>
      <c r="T111">
        <f t="shared" si="7"/>
        <v>-2.7278078924772908E-2</v>
      </c>
    </row>
    <row r="112" spans="1:20" x14ac:dyDescent="0.3">
      <c r="A112" s="2">
        <v>45717</v>
      </c>
      <c r="B112" t="s">
        <v>25</v>
      </c>
      <c r="C112">
        <v>8768.58984375</v>
      </c>
      <c r="D112">
        <v>9192.39</v>
      </c>
      <c r="E112">
        <v>7704.2738701686003</v>
      </c>
      <c r="F112">
        <v>7706.8019999999997</v>
      </c>
      <c r="G112">
        <v>9785.52</v>
      </c>
      <c r="H112">
        <v>10378.65</v>
      </c>
      <c r="I112">
        <v>7704.2738701686003</v>
      </c>
      <c r="J112">
        <v>6128.1768167543996</v>
      </c>
      <c r="K112">
        <v>9309.4313988618997</v>
      </c>
      <c r="L112">
        <v>7597.4954079012005</v>
      </c>
      <c r="M112">
        <v>106.7784622674</v>
      </c>
      <c r="N112">
        <v>11.17</v>
      </c>
      <c r="O112">
        <v>7789.1383582031249</v>
      </c>
      <c r="P112">
        <v>9748.0413292968751</v>
      </c>
      <c r="Q112">
        <f t="shared" si="4"/>
        <v>-1610.0601562499996</v>
      </c>
      <c r="R112">
        <f t="shared" si="5"/>
        <v>-0.18361677133269091</v>
      </c>
      <c r="S112">
        <f t="shared" si="6"/>
        <v>1064.3159735813997</v>
      </c>
      <c r="T112">
        <f t="shared" si="7"/>
        <v>0.12137823670017063</v>
      </c>
    </row>
    <row r="113" spans="1:20" x14ac:dyDescent="0.3">
      <c r="A113" s="2">
        <v>45748</v>
      </c>
      <c r="B113" t="s">
        <v>25</v>
      </c>
      <c r="C113">
        <v>6346.2001953125</v>
      </c>
      <c r="D113">
        <v>6697.24</v>
      </c>
      <c r="E113">
        <v>6800.2471045496004</v>
      </c>
      <c r="F113">
        <v>6813.9160000000002</v>
      </c>
      <c r="G113">
        <v>6761.5050000000001</v>
      </c>
      <c r="H113">
        <v>6825.77</v>
      </c>
      <c r="I113">
        <v>6800.2471045496004</v>
      </c>
      <c r="J113">
        <v>5153.0390101798002</v>
      </c>
      <c r="K113">
        <v>8438.4600320447007</v>
      </c>
      <c r="L113">
        <v>7595.3235257917004</v>
      </c>
      <c r="M113">
        <v>-795.07642124209997</v>
      </c>
      <c r="N113">
        <v>11.17</v>
      </c>
      <c r="O113">
        <v>5637.3296334960933</v>
      </c>
      <c r="P113">
        <v>7055.0707571289058</v>
      </c>
      <c r="Q113">
        <f t="shared" si="4"/>
        <v>-479.56980468750044</v>
      </c>
      <c r="R113">
        <f t="shared" si="5"/>
        <v>-7.5568023372746027E-2</v>
      </c>
      <c r="S113">
        <f t="shared" si="6"/>
        <v>-454.04690923710041</v>
      </c>
      <c r="T113">
        <f t="shared" si="7"/>
        <v>-7.1546263159563347E-2</v>
      </c>
    </row>
    <row r="114" spans="1:20" x14ac:dyDescent="0.3">
      <c r="A114" s="2">
        <v>45778</v>
      </c>
      <c r="B114" t="s">
        <v>25</v>
      </c>
      <c r="C114">
        <v>7956.7099609375</v>
      </c>
      <c r="D114">
        <v>9339.65</v>
      </c>
      <c r="E114">
        <v>7944.9855835565004</v>
      </c>
      <c r="F114">
        <v>8022.5820000000003</v>
      </c>
      <c r="G114">
        <v>8818.4599999999991</v>
      </c>
      <c r="H114">
        <v>8297.27</v>
      </c>
      <c r="I114">
        <v>7944.9855835565004</v>
      </c>
      <c r="J114">
        <v>6276.3745274962002</v>
      </c>
      <c r="K114">
        <v>9614.8429376856002</v>
      </c>
      <c r="L114">
        <v>7593.2217043952996</v>
      </c>
      <c r="M114">
        <v>351.76387916120001</v>
      </c>
      <c r="N114">
        <v>11.17</v>
      </c>
      <c r="O114">
        <v>7067.945458300781</v>
      </c>
      <c r="P114">
        <v>8845.4744635742172</v>
      </c>
      <c r="Q114">
        <f t="shared" si="4"/>
        <v>-340.56003906250044</v>
      </c>
      <c r="R114">
        <f t="shared" si="5"/>
        <v>-4.2801615332774288E-2</v>
      </c>
      <c r="S114">
        <f t="shared" si="6"/>
        <v>11.724377380999613</v>
      </c>
      <c r="T114">
        <f t="shared" si="7"/>
        <v>1.4735207690815698E-3</v>
      </c>
    </row>
    <row r="115" spans="1:20" x14ac:dyDescent="0.3">
      <c r="A115" s="2">
        <v>45809</v>
      </c>
      <c r="B115" t="s">
        <v>25</v>
      </c>
      <c r="C115">
        <v>7714.75</v>
      </c>
      <c r="D115">
        <v>7059.52</v>
      </c>
      <c r="E115">
        <v>7177.0290708692</v>
      </c>
      <c r="F115">
        <v>7324.4219999999996</v>
      </c>
      <c r="G115">
        <v>7135.89</v>
      </c>
      <c r="H115">
        <v>7212.26</v>
      </c>
      <c r="I115">
        <v>7177.0290708692</v>
      </c>
      <c r="J115">
        <v>5616.4324294982998</v>
      </c>
      <c r="K115">
        <v>8899.0895267306005</v>
      </c>
      <c r="L115">
        <v>7591.0498222857004</v>
      </c>
      <c r="M115">
        <v>-414.02075141649999</v>
      </c>
      <c r="N115">
        <v>11.17</v>
      </c>
      <c r="O115">
        <v>6853.0124249999999</v>
      </c>
      <c r="P115">
        <v>8576.4875749999992</v>
      </c>
      <c r="Q115">
        <f t="shared" si="4"/>
        <v>502.48999999999978</v>
      </c>
      <c r="R115">
        <f t="shared" si="5"/>
        <v>6.5133672510450727E-2</v>
      </c>
      <c r="S115">
        <f t="shared" si="6"/>
        <v>537.72092913079996</v>
      </c>
      <c r="T115">
        <f t="shared" si="7"/>
        <v>6.9700369957652539E-2</v>
      </c>
    </row>
    <row r="116" spans="1:20" x14ac:dyDescent="0.3">
      <c r="A116" s="2">
        <v>45839</v>
      </c>
      <c r="B116" t="s">
        <v>25</v>
      </c>
      <c r="C116">
        <v>7198.6000976562</v>
      </c>
      <c r="D116">
        <v>6409.75</v>
      </c>
      <c r="E116">
        <v>7505.9157686586004</v>
      </c>
      <c r="F116">
        <v>7542.0379999999996</v>
      </c>
      <c r="G116">
        <v>6202.07</v>
      </c>
      <c r="H116">
        <v>5994.39</v>
      </c>
      <c r="I116">
        <v>7505.9157686586004</v>
      </c>
      <c r="J116">
        <v>5892.5790867104997</v>
      </c>
      <c r="K116">
        <v>9068.0716162740991</v>
      </c>
      <c r="L116">
        <v>7588.9480008892997</v>
      </c>
      <c r="M116">
        <v>-83.032232230800005</v>
      </c>
      <c r="N116">
        <v>11.17</v>
      </c>
      <c r="O116">
        <v>6394.5164667480021</v>
      </c>
      <c r="P116">
        <v>8002.6837285643969</v>
      </c>
      <c r="Q116">
        <f t="shared" si="4"/>
        <v>1204.2100976561997</v>
      </c>
      <c r="R116">
        <f t="shared" si="5"/>
        <v>0.16728392761368696</v>
      </c>
      <c r="S116">
        <f t="shared" si="6"/>
        <v>-307.31567100240045</v>
      </c>
      <c r="T116">
        <f t="shared" si="7"/>
        <v>-4.2691032538737593E-2</v>
      </c>
    </row>
    <row r="117" spans="1:20" x14ac:dyDescent="0.3">
      <c r="A117" s="2">
        <v>45870</v>
      </c>
      <c r="B117" t="s">
        <v>25</v>
      </c>
      <c r="C117">
        <v>7728.6899414062</v>
      </c>
      <c r="D117">
        <v>8122.91</v>
      </c>
      <c r="E117">
        <v>7517.3028038780003</v>
      </c>
      <c r="F117">
        <v>7538.2240000000002</v>
      </c>
      <c r="G117">
        <v>6914.85</v>
      </c>
      <c r="H117">
        <v>5706.79</v>
      </c>
      <c r="I117">
        <v>7517.3028038780003</v>
      </c>
      <c r="J117">
        <v>5948.8500397191001</v>
      </c>
      <c r="K117">
        <v>9189.3033054398002</v>
      </c>
      <c r="L117">
        <v>7586.7761187797996</v>
      </c>
      <c r="M117">
        <v>-69.473314901799995</v>
      </c>
      <c r="N117">
        <v>11.17</v>
      </c>
      <c r="O117">
        <v>6865.3952749511272</v>
      </c>
      <c r="P117">
        <v>8591.9846078612718</v>
      </c>
      <c r="Q117">
        <f t="shared" si="4"/>
        <v>2021.8999414062</v>
      </c>
      <c r="R117">
        <f t="shared" si="5"/>
        <v>0.26160965917055856</v>
      </c>
      <c r="S117">
        <f t="shared" si="6"/>
        <v>211.38713752819967</v>
      </c>
      <c r="T117">
        <f t="shared" si="7"/>
        <v>2.7350966222063081E-2</v>
      </c>
    </row>
    <row r="118" spans="1:20" x14ac:dyDescent="0.3">
      <c r="A118" s="2">
        <v>45901</v>
      </c>
      <c r="B118" t="s">
        <v>25</v>
      </c>
      <c r="C118">
        <v>7396.5400390625</v>
      </c>
      <c r="D118">
        <v>6741.54</v>
      </c>
      <c r="E118">
        <v>7137.4629242290002</v>
      </c>
      <c r="F118">
        <v>6984.4979999999996</v>
      </c>
      <c r="G118">
        <v>6454.79</v>
      </c>
      <c r="H118">
        <v>6168.04</v>
      </c>
      <c r="I118">
        <v>7137.4629242290002</v>
      </c>
      <c r="J118">
        <v>5402.4547768208004</v>
      </c>
      <c r="K118">
        <v>8859.3803400738998</v>
      </c>
      <c r="L118">
        <v>7584.6042366702004</v>
      </c>
      <c r="M118">
        <v>-447.1413124412</v>
      </c>
      <c r="N118">
        <v>11.17</v>
      </c>
      <c r="O118">
        <v>6570.3465166992182</v>
      </c>
      <c r="P118">
        <v>8222.7335614257809</v>
      </c>
      <c r="Q118">
        <f t="shared" si="4"/>
        <v>1228.5000390625</v>
      </c>
      <c r="R118">
        <f t="shared" si="5"/>
        <v>0.16609117676299506</v>
      </c>
      <c r="S118">
        <f t="shared" si="6"/>
        <v>259.07711483349976</v>
      </c>
      <c r="T118">
        <f t="shared" si="7"/>
        <v>3.5026798133352278E-2</v>
      </c>
    </row>
    <row r="119" spans="1:20" x14ac:dyDescent="0.3">
      <c r="A119" s="2">
        <v>45931</v>
      </c>
      <c r="B119" t="s">
        <v>25</v>
      </c>
      <c r="C119">
        <v>11441.455078125</v>
      </c>
      <c r="E119">
        <v>8503.2887952193996</v>
      </c>
      <c r="F119">
        <v>8700.1849999999995</v>
      </c>
      <c r="G119">
        <v>9885.0849999999991</v>
      </c>
      <c r="H119">
        <v>8328.91</v>
      </c>
      <c r="I119">
        <v>8503.2887952193996</v>
      </c>
      <c r="J119">
        <v>6841.9256413412004</v>
      </c>
      <c r="K119">
        <v>10147.738858864999</v>
      </c>
      <c r="L119">
        <v>7582.5024152737997</v>
      </c>
      <c r="M119">
        <v>920.78637994559995</v>
      </c>
      <c r="N119">
        <v>11.17</v>
      </c>
      <c r="O119">
        <v>10163.444545898439</v>
      </c>
      <c r="P119">
        <v>12719.465610351561</v>
      </c>
      <c r="Q119">
        <f t="shared" si="4"/>
        <v>3112.5450781250001</v>
      </c>
      <c r="R119">
        <f t="shared" si="5"/>
        <v>0.27204101723703811</v>
      </c>
      <c r="S119">
        <f t="shared" si="6"/>
        <v>2938.1662829056004</v>
      </c>
      <c r="T119">
        <f t="shared" si="7"/>
        <v>0.25680005408779705</v>
      </c>
    </row>
    <row r="120" spans="1:20" x14ac:dyDescent="0.3">
      <c r="A120" s="2">
        <v>45962</v>
      </c>
      <c r="B120" t="s">
        <v>25</v>
      </c>
      <c r="C120">
        <v>7286.328125</v>
      </c>
      <c r="E120">
        <v>7012.7306955444001</v>
      </c>
      <c r="F120">
        <v>7238.72</v>
      </c>
      <c r="G120">
        <v>7373.5150000000003</v>
      </c>
      <c r="H120">
        <v>6963.67</v>
      </c>
      <c r="I120">
        <v>7012.7306955444001</v>
      </c>
      <c r="J120">
        <v>5334.1438244418996</v>
      </c>
      <c r="K120">
        <v>8614.0757780340991</v>
      </c>
      <c r="L120">
        <v>7580.3305331641996</v>
      </c>
      <c r="M120">
        <v>-567.59983761980004</v>
      </c>
      <c r="N120">
        <v>11.17</v>
      </c>
      <c r="O120">
        <v>6472.4452734375</v>
      </c>
      <c r="P120">
        <v>8100.2109765624991</v>
      </c>
      <c r="Q120">
        <f t="shared" si="4"/>
        <v>322.65812499999993</v>
      </c>
      <c r="R120">
        <f t="shared" si="5"/>
        <v>4.4282678389535188E-2</v>
      </c>
      <c r="S120">
        <f t="shared" si="6"/>
        <v>273.59742945559992</v>
      </c>
      <c r="T120">
        <f t="shared" si="7"/>
        <v>3.7549424725584937E-2</v>
      </c>
    </row>
    <row r="121" spans="1:20" x14ac:dyDescent="0.3">
      <c r="A121" s="2">
        <v>45992</v>
      </c>
      <c r="B121" t="s">
        <v>25</v>
      </c>
      <c r="C121">
        <v>6864.384765625</v>
      </c>
      <c r="E121">
        <v>8311.9876438459996</v>
      </c>
      <c r="F121">
        <v>8307.0949999999993</v>
      </c>
      <c r="G121">
        <v>8150.04</v>
      </c>
      <c r="H121">
        <v>9409.35</v>
      </c>
      <c r="I121">
        <v>8311.9876438459996</v>
      </c>
      <c r="J121">
        <v>6523.5088783445999</v>
      </c>
      <c r="K121">
        <v>9910.0719124139996</v>
      </c>
      <c r="L121">
        <v>7578.2287117678998</v>
      </c>
      <c r="M121">
        <v>733.75893207820002</v>
      </c>
      <c r="N121">
        <v>11.17</v>
      </c>
      <c r="O121">
        <v>6097.632987304687</v>
      </c>
      <c r="P121">
        <v>7631.136543945312</v>
      </c>
      <c r="Q121">
        <f t="shared" si="4"/>
        <v>-2544.9652343750004</v>
      </c>
      <c r="R121">
        <f t="shared" si="5"/>
        <v>-0.37074921078426498</v>
      </c>
      <c r="S121">
        <f t="shared" si="6"/>
        <v>-1447.6028782209996</v>
      </c>
      <c r="T121">
        <f t="shared" si="7"/>
        <v>-0.21088603387592827</v>
      </c>
    </row>
    <row r="122" spans="1:20" x14ac:dyDescent="0.3">
      <c r="A122" s="2">
        <v>45658</v>
      </c>
      <c r="B122" t="s">
        <v>26</v>
      </c>
      <c r="C122">
        <v>8581.2099609375</v>
      </c>
      <c r="D122">
        <v>9092.33</v>
      </c>
      <c r="E122">
        <v>9714.3223517523002</v>
      </c>
      <c r="F122">
        <v>9337.7540000000008</v>
      </c>
      <c r="G122">
        <v>9137.1450000000004</v>
      </c>
      <c r="H122">
        <v>9181.9599999999991</v>
      </c>
      <c r="I122">
        <v>9714.3223517523002</v>
      </c>
      <c r="J122">
        <v>8323.8368801592005</v>
      </c>
      <c r="K122">
        <v>11238.56912045</v>
      </c>
      <c r="L122">
        <v>7286.7045327277001</v>
      </c>
      <c r="M122">
        <v>2427.6178190246001</v>
      </c>
      <c r="N122">
        <v>7.73</v>
      </c>
      <c r="O122">
        <v>7917.8824309570309</v>
      </c>
      <c r="P122">
        <v>9244.5374909179682</v>
      </c>
      <c r="Q122">
        <f t="shared" si="4"/>
        <v>-600.75003906249913</v>
      </c>
      <c r="R122">
        <f t="shared" si="5"/>
        <v>-7.0007614520233338E-2</v>
      </c>
      <c r="S122">
        <f t="shared" si="6"/>
        <v>-1133.1123908148002</v>
      </c>
      <c r="T122">
        <f t="shared" si="7"/>
        <v>-0.13204575997707055</v>
      </c>
    </row>
    <row r="123" spans="1:20" x14ac:dyDescent="0.3">
      <c r="A123" s="2">
        <v>45689</v>
      </c>
      <c r="B123" t="s">
        <v>26</v>
      </c>
      <c r="C123">
        <v>6679.9399414062</v>
      </c>
      <c r="D123">
        <v>6301.67</v>
      </c>
      <c r="E123">
        <v>8206.8559247605008</v>
      </c>
      <c r="F123">
        <v>7560.9080000000004</v>
      </c>
      <c r="G123">
        <v>6128.3149999999996</v>
      </c>
      <c r="H123">
        <v>5954.96</v>
      </c>
      <c r="I123">
        <v>8206.8559247605008</v>
      </c>
      <c r="J123">
        <v>6808.7990441391003</v>
      </c>
      <c r="K123">
        <v>9676.3557379348003</v>
      </c>
      <c r="L123">
        <v>7288.2289191650998</v>
      </c>
      <c r="M123">
        <v>918.62700559550001</v>
      </c>
      <c r="N123">
        <v>7.73</v>
      </c>
      <c r="O123">
        <v>6163.5805839355007</v>
      </c>
      <c r="P123">
        <v>7196.2992988768983</v>
      </c>
      <c r="Q123">
        <f t="shared" si="4"/>
        <v>724.97994140619994</v>
      </c>
      <c r="R123">
        <f t="shared" si="5"/>
        <v>0.10853090712872245</v>
      </c>
      <c r="S123">
        <f t="shared" si="6"/>
        <v>-1526.9159833543008</v>
      </c>
      <c r="T123">
        <f t="shared" si="7"/>
        <v>-0.22858229216846349</v>
      </c>
    </row>
    <row r="124" spans="1:20" x14ac:dyDescent="0.3">
      <c r="A124" s="2">
        <v>45717</v>
      </c>
      <c r="B124" t="s">
        <v>26</v>
      </c>
      <c r="C124">
        <v>7434.7299804688</v>
      </c>
      <c r="D124">
        <v>7664.47</v>
      </c>
      <c r="E124">
        <v>7312.0487391883998</v>
      </c>
      <c r="F124">
        <v>7255.6679999999997</v>
      </c>
      <c r="G124">
        <v>8509.7800000000007</v>
      </c>
      <c r="H124">
        <v>9355.09</v>
      </c>
      <c r="I124">
        <v>7312.0487391883998</v>
      </c>
      <c r="J124">
        <v>5909.8796319245002</v>
      </c>
      <c r="K124">
        <v>8894.9424202498994</v>
      </c>
      <c r="L124">
        <v>7289.6057843342996</v>
      </c>
      <c r="M124">
        <v>22.442954854100002</v>
      </c>
      <c r="N124">
        <v>7.73</v>
      </c>
      <c r="O124">
        <v>6860.0253529785614</v>
      </c>
      <c r="P124">
        <v>8009.4346079590377</v>
      </c>
      <c r="Q124">
        <f t="shared" si="4"/>
        <v>-1920.3600195312001</v>
      </c>
      <c r="R124">
        <f t="shared" si="5"/>
        <v>-0.25829586610085753</v>
      </c>
      <c r="S124">
        <f t="shared" si="6"/>
        <v>122.68124128040017</v>
      </c>
      <c r="T124">
        <f t="shared" si="7"/>
        <v>1.6501102474829148E-2</v>
      </c>
    </row>
    <row r="125" spans="1:20" x14ac:dyDescent="0.3">
      <c r="A125" s="2">
        <v>45748</v>
      </c>
      <c r="B125" t="s">
        <v>26</v>
      </c>
      <c r="C125">
        <v>7241.5698242188</v>
      </c>
      <c r="D125">
        <v>7232.4</v>
      </c>
      <c r="E125">
        <v>7125.9287179045004</v>
      </c>
      <c r="F125">
        <v>7159.8980000000001</v>
      </c>
      <c r="G125">
        <v>7664.9549999999999</v>
      </c>
      <c r="H125">
        <v>8097.51</v>
      </c>
      <c r="I125">
        <v>7125.9287179045004</v>
      </c>
      <c r="J125">
        <v>5716.0224662115997</v>
      </c>
      <c r="K125">
        <v>8496.2937520127998</v>
      </c>
      <c r="L125">
        <v>7291.1301707717003</v>
      </c>
      <c r="M125">
        <v>-165.2014528672</v>
      </c>
      <c r="N125">
        <v>7.73</v>
      </c>
      <c r="O125">
        <v>6681.7964768066868</v>
      </c>
      <c r="P125">
        <v>7801.3431716309124</v>
      </c>
      <c r="Q125">
        <f t="shared" si="4"/>
        <v>-855.9401757812002</v>
      </c>
      <c r="R125">
        <f t="shared" si="5"/>
        <v>-0.11819815268763725</v>
      </c>
      <c r="S125">
        <f t="shared" si="6"/>
        <v>115.64110631429958</v>
      </c>
      <c r="T125">
        <f t="shared" si="7"/>
        <v>1.5969065978974333E-2</v>
      </c>
    </row>
    <row r="126" spans="1:20" x14ac:dyDescent="0.3">
      <c r="A126" s="2">
        <v>45778</v>
      </c>
      <c r="B126" t="s">
        <v>26</v>
      </c>
      <c r="C126">
        <v>6587.1298828125</v>
      </c>
      <c r="D126">
        <v>6543.58</v>
      </c>
      <c r="E126">
        <v>7440.9609971112995</v>
      </c>
      <c r="F126">
        <v>7629.442</v>
      </c>
      <c r="G126">
        <v>7402.81</v>
      </c>
      <c r="H126">
        <v>8262.0400000000009</v>
      </c>
      <c r="I126">
        <v>7440.9609971112995</v>
      </c>
      <c r="J126">
        <v>6066.3134453703997</v>
      </c>
      <c r="K126">
        <v>8879.079905302</v>
      </c>
      <c r="L126">
        <v>7292.6053834530003</v>
      </c>
      <c r="M126">
        <v>148.3556136583</v>
      </c>
      <c r="N126">
        <v>7.73</v>
      </c>
      <c r="O126">
        <v>6077.9447428710937</v>
      </c>
      <c r="P126">
        <v>7096.3150227539054</v>
      </c>
      <c r="Q126">
        <f t="shared" si="4"/>
        <v>-1674.9101171875009</v>
      </c>
      <c r="R126">
        <f t="shared" si="5"/>
        <v>-0.25427009137284023</v>
      </c>
      <c r="S126">
        <f t="shared" si="6"/>
        <v>-853.83111429879955</v>
      </c>
      <c r="T126">
        <f t="shared" si="7"/>
        <v>-0.12962111412538904</v>
      </c>
    </row>
    <row r="127" spans="1:20" x14ac:dyDescent="0.3">
      <c r="A127" s="2">
        <v>45809</v>
      </c>
      <c r="B127" t="s">
        <v>26</v>
      </c>
      <c r="C127">
        <v>7184.5600585938</v>
      </c>
      <c r="D127">
        <v>7230.06</v>
      </c>
      <c r="E127">
        <v>8140.9940699096996</v>
      </c>
      <c r="F127">
        <v>7998.2340000000004</v>
      </c>
      <c r="G127">
        <v>8582.0750000000007</v>
      </c>
      <c r="H127">
        <v>9934.09</v>
      </c>
      <c r="I127">
        <v>8140.9940699096996</v>
      </c>
      <c r="J127">
        <v>6761.2689724970996</v>
      </c>
      <c r="K127">
        <v>9568.9740460282992</v>
      </c>
      <c r="L127">
        <v>7294.1297698902999</v>
      </c>
      <c r="M127">
        <v>846.86430001940005</v>
      </c>
      <c r="N127">
        <v>7.73</v>
      </c>
      <c r="O127">
        <v>6629.1935660644986</v>
      </c>
      <c r="P127">
        <v>7739.9265511231006</v>
      </c>
      <c r="Q127">
        <f t="shared" si="4"/>
        <v>-2749.5299414062001</v>
      </c>
      <c r="R127">
        <f t="shared" si="5"/>
        <v>-0.38269983394701451</v>
      </c>
      <c r="S127">
        <f t="shared" si="6"/>
        <v>-956.43401131589962</v>
      </c>
      <c r="T127">
        <f t="shared" si="7"/>
        <v>-0.13312353206260175</v>
      </c>
    </row>
    <row r="128" spans="1:20" x14ac:dyDescent="0.3">
      <c r="A128" s="2">
        <v>45839</v>
      </c>
      <c r="B128" t="s">
        <v>26</v>
      </c>
      <c r="C128">
        <v>7522.3100585938</v>
      </c>
      <c r="D128">
        <v>7963.02</v>
      </c>
      <c r="E128">
        <v>7747.1960188948997</v>
      </c>
      <c r="F128">
        <v>7701.03</v>
      </c>
      <c r="G128">
        <v>7861.85</v>
      </c>
      <c r="H128">
        <v>7760.68</v>
      </c>
      <c r="I128">
        <v>7747.1960188948997</v>
      </c>
      <c r="J128">
        <v>6320.2086051766</v>
      </c>
      <c r="K128">
        <v>9305.9136222618999</v>
      </c>
      <c r="L128">
        <v>7295.6049825717</v>
      </c>
      <c r="M128">
        <v>451.59103632329999</v>
      </c>
      <c r="N128">
        <v>7.73</v>
      </c>
      <c r="O128">
        <v>6940.8354910644994</v>
      </c>
      <c r="P128">
        <v>8103.7846261230998</v>
      </c>
      <c r="Q128">
        <f t="shared" si="4"/>
        <v>-238.36994140620027</v>
      </c>
      <c r="R128">
        <f t="shared" si="5"/>
        <v>-3.1688396190725554E-2</v>
      </c>
      <c r="S128">
        <f t="shared" si="6"/>
        <v>-224.88596030109966</v>
      </c>
      <c r="T128">
        <f t="shared" si="7"/>
        <v>-2.9895864242418534E-2</v>
      </c>
    </row>
    <row r="129" spans="1:20" x14ac:dyDescent="0.3">
      <c r="A129" s="2">
        <v>45870</v>
      </c>
      <c r="B129" t="s">
        <v>26</v>
      </c>
      <c r="C129">
        <v>8381.76953125</v>
      </c>
      <c r="D129">
        <v>10072.52</v>
      </c>
      <c r="E129">
        <v>7541.3893149563</v>
      </c>
      <c r="F129">
        <v>7438.93</v>
      </c>
      <c r="G129">
        <v>7862.1049999999996</v>
      </c>
      <c r="H129">
        <v>5651.69</v>
      </c>
      <c r="I129">
        <v>7541.3893149563</v>
      </c>
      <c r="J129">
        <v>6024.7973466099002</v>
      </c>
      <c r="K129">
        <v>8873.3802095454994</v>
      </c>
      <c r="L129">
        <v>7297.1293690089997</v>
      </c>
      <c r="M129">
        <v>244.2599459473</v>
      </c>
      <c r="N129">
        <v>7.73</v>
      </c>
      <c r="O129">
        <v>7733.8587464843749</v>
      </c>
      <c r="P129">
        <v>9029.6803160156251</v>
      </c>
      <c r="Q129">
        <f t="shared" si="4"/>
        <v>2730.0795312500004</v>
      </c>
      <c r="R129">
        <f t="shared" si="5"/>
        <v>0.32571636825271366</v>
      </c>
      <c r="S129">
        <f t="shared" si="6"/>
        <v>840.38021629369996</v>
      </c>
      <c r="T129">
        <f t="shared" si="7"/>
        <v>0.1002628637259096</v>
      </c>
    </row>
    <row r="130" spans="1:20" x14ac:dyDescent="0.3">
      <c r="A130" s="2">
        <v>45901</v>
      </c>
      <c r="B130" t="s">
        <v>26</v>
      </c>
      <c r="C130">
        <v>7066.6098632812</v>
      </c>
      <c r="D130">
        <v>7858.17</v>
      </c>
      <c r="E130">
        <v>8480.3778791101995</v>
      </c>
      <c r="F130">
        <v>8384.2139999999999</v>
      </c>
      <c r="G130">
        <v>6981.375</v>
      </c>
      <c r="H130">
        <v>6104.58</v>
      </c>
      <c r="I130">
        <v>8480.3778791101995</v>
      </c>
      <c r="J130">
        <v>7033.8137919297997</v>
      </c>
      <c r="K130">
        <v>9875.6678293099994</v>
      </c>
      <c r="L130">
        <v>7298.6537554464003</v>
      </c>
      <c r="M130">
        <v>1181.7241236637999</v>
      </c>
      <c r="N130">
        <v>7.73</v>
      </c>
      <c r="O130">
        <v>6520.3609208495627</v>
      </c>
      <c r="P130">
        <v>7612.8588057128363</v>
      </c>
      <c r="Q130">
        <f t="shared" si="4"/>
        <v>962.02986328120005</v>
      </c>
      <c r="R130">
        <f t="shared" si="5"/>
        <v>0.13613739570936298</v>
      </c>
      <c r="S130">
        <f t="shared" si="6"/>
        <v>-1413.7680158289995</v>
      </c>
      <c r="T130">
        <f t="shared" si="7"/>
        <v>-0.20006311982427064</v>
      </c>
    </row>
    <row r="131" spans="1:20" x14ac:dyDescent="0.3">
      <c r="A131" s="2">
        <v>45931</v>
      </c>
      <c r="B131" t="s">
        <v>26</v>
      </c>
      <c r="C131">
        <v>7411.9448242188</v>
      </c>
      <c r="E131">
        <v>7067.1394741292997</v>
      </c>
      <c r="F131">
        <v>7011.9274999999998</v>
      </c>
      <c r="G131">
        <v>7629.65</v>
      </c>
      <c r="H131">
        <v>6509.64</v>
      </c>
      <c r="I131">
        <v>7067.1394741292997</v>
      </c>
      <c r="J131">
        <v>5717.9089449002004</v>
      </c>
      <c r="K131">
        <v>8452.2715458973998</v>
      </c>
      <c r="L131">
        <v>7300.1289681277003</v>
      </c>
      <c r="M131">
        <v>-232.98949399840001</v>
      </c>
      <c r="N131">
        <v>7.73</v>
      </c>
      <c r="O131">
        <v>6839.0014893066864</v>
      </c>
      <c r="P131">
        <v>7984.8881591309128</v>
      </c>
      <c r="Q131">
        <f t="shared" ref="Q131:Q193" si="8">C131-H131</f>
        <v>902.30482421879969</v>
      </c>
      <c r="R131">
        <f t="shared" ref="R131:R193" si="9">(C131-H131)/C131</f>
        <v>0.12173658137206927</v>
      </c>
      <c r="S131">
        <f t="shared" ref="S131:S193" si="10">C131-E131</f>
        <v>344.80535008950028</v>
      </c>
      <c r="T131">
        <f t="shared" ref="T131:T193" si="11">(C131-E131)/C131</f>
        <v>4.6520226238440987E-2</v>
      </c>
    </row>
    <row r="132" spans="1:20" x14ac:dyDescent="0.3">
      <c r="A132" s="2">
        <v>45962</v>
      </c>
      <c r="B132" t="s">
        <v>26</v>
      </c>
      <c r="C132">
        <v>7697.58203125</v>
      </c>
      <c r="E132">
        <v>7243.7770047676004</v>
      </c>
      <c r="F132">
        <v>7214.3850000000002</v>
      </c>
      <c r="G132">
        <v>7861.28</v>
      </c>
      <c r="H132">
        <v>7176.58</v>
      </c>
      <c r="I132">
        <v>7243.7770047676004</v>
      </c>
      <c r="J132">
        <v>5876.1043051985998</v>
      </c>
      <c r="K132">
        <v>8676.2349946028007</v>
      </c>
      <c r="L132">
        <v>7301.6533545651</v>
      </c>
      <c r="M132">
        <v>-57.876349797499998</v>
      </c>
      <c r="N132">
        <v>7.73</v>
      </c>
      <c r="O132">
        <v>7102.5589402343749</v>
      </c>
      <c r="P132">
        <v>8292.6051222656242</v>
      </c>
      <c r="Q132">
        <f t="shared" si="8"/>
        <v>521.00203125000007</v>
      </c>
      <c r="R132">
        <f t="shared" si="9"/>
        <v>6.7683855675052196E-2</v>
      </c>
      <c r="S132">
        <f t="shared" si="10"/>
        <v>453.80502648239963</v>
      </c>
      <c r="T132">
        <f t="shared" si="11"/>
        <v>5.8954230645426049E-2</v>
      </c>
    </row>
    <row r="133" spans="1:20" x14ac:dyDescent="0.3">
      <c r="A133" s="2">
        <v>45992</v>
      </c>
      <c r="B133" t="s">
        <v>26</v>
      </c>
      <c r="C133">
        <v>8434.328125</v>
      </c>
      <c r="E133">
        <v>6945.7311208812998</v>
      </c>
      <c r="F133">
        <v>7308.53</v>
      </c>
      <c r="G133">
        <v>6832.9250000000002</v>
      </c>
      <c r="H133">
        <v>5643.15</v>
      </c>
      <c r="I133">
        <v>6945.7311208812998</v>
      </c>
      <c r="J133">
        <v>5614.0916709892999</v>
      </c>
      <c r="K133">
        <v>8387.0503346846999</v>
      </c>
      <c r="L133">
        <v>7303.1285672464001</v>
      </c>
      <c r="M133">
        <v>-357.3974463651</v>
      </c>
      <c r="N133">
        <v>7.73</v>
      </c>
      <c r="O133">
        <v>7782.3545609374996</v>
      </c>
      <c r="P133">
        <v>9086.3016890624986</v>
      </c>
      <c r="Q133">
        <f t="shared" si="8"/>
        <v>2791.1781250000004</v>
      </c>
      <c r="R133">
        <f t="shared" si="9"/>
        <v>0.33093070172676031</v>
      </c>
      <c r="S133">
        <f t="shared" si="10"/>
        <v>1488.5970041187002</v>
      </c>
      <c r="T133">
        <f t="shared" si="11"/>
        <v>0.17649265976579495</v>
      </c>
    </row>
    <row r="134" spans="1:20" x14ac:dyDescent="0.3">
      <c r="A134" s="2">
        <v>45658</v>
      </c>
      <c r="B134" t="s">
        <v>27</v>
      </c>
      <c r="C134">
        <v>3269.2600097656</v>
      </c>
      <c r="D134">
        <v>3275.75</v>
      </c>
      <c r="E134">
        <v>3722.7781585921998</v>
      </c>
      <c r="F134">
        <v>3622.09</v>
      </c>
      <c r="G134">
        <v>3586.4050000000002</v>
      </c>
      <c r="H134">
        <v>3897.06</v>
      </c>
      <c r="I134">
        <v>3722.7781585921998</v>
      </c>
      <c r="J134">
        <v>2926.9186886655998</v>
      </c>
      <c r="K134">
        <v>4522.6079182447002</v>
      </c>
      <c r="L134">
        <v>3612.2169374076002</v>
      </c>
      <c r="M134">
        <v>110.5612211846</v>
      </c>
      <c r="N134">
        <v>8.3800000000000008</v>
      </c>
      <c r="O134">
        <v>2995.2960209472431</v>
      </c>
      <c r="P134">
        <v>3543.2239985839569</v>
      </c>
      <c r="Q134">
        <f t="shared" si="8"/>
        <v>-627.79999023439996</v>
      </c>
      <c r="R134">
        <f t="shared" si="9"/>
        <v>-0.19203122063069314</v>
      </c>
      <c r="S134">
        <f t="shared" si="10"/>
        <v>-453.51814882659983</v>
      </c>
      <c r="T134">
        <f t="shared" si="11"/>
        <v>-0.13872195771272297</v>
      </c>
    </row>
    <row r="135" spans="1:20" x14ac:dyDescent="0.3">
      <c r="A135" s="2">
        <v>45689</v>
      </c>
      <c r="B135" t="s">
        <v>27</v>
      </c>
      <c r="C135">
        <v>4356.009765625</v>
      </c>
      <c r="D135">
        <v>4309.83</v>
      </c>
      <c r="E135">
        <v>4158.8099132363004</v>
      </c>
      <c r="F135">
        <v>3326.35</v>
      </c>
      <c r="G135">
        <v>3477.1750000000002</v>
      </c>
      <c r="H135">
        <v>2644.52</v>
      </c>
      <c r="I135">
        <v>4158.8099132363004</v>
      </c>
      <c r="J135">
        <v>3383.4522919076999</v>
      </c>
      <c r="K135">
        <v>4936.3429516343003</v>
      </c>
      <c r="L135">
        <v>3623.3980542068002</v>
      </c>
      <c r="M135">
        <v>535.41185902940003</v>
      </c>
      <c r="N135">
        <v>8.3800000000000008</v>
      </c>
      <c r="O135">
        <v>3990.9761472656251</v>
      </c>
      <c r="P135">
        <v>4721.0433839843754</v>
      </c>
      <c r="Q135">
        <f t="shared" si="8"/>
        <v>1711.489765625</v>
      </c>
      <c r="R135">
        <f t="shared" si="9"/>
        <v>0.39290310575771531</v>
      </c>
      <c r="S135">
        <f t="shared" si="10"/>
        <v>197.19985238869958</v>
      </c>
      <c r="T135">
        <f t="shared" si="11"/>
        <v>4.5270755346987927E-2</v>
      </c>
    </row>
    <row r="136" spans="1:20" x14ac:dyDescent="0.3">
      <c r="A136" s="2">
        <v>45717</v>
      </c>
      <c r="B136" t="s">
        <v>27</v>
      </c>
      <c r="C136">
        <v>2849.1599121094</v>
      </c>
      <c r="D136">
        <v>2713.64</v>
      </c>
      <c r="E136">
        <v>3776.7788103215998</v>
      </c>
      <c r="F136">
        <v>3626.9580000000001</v>
      </c>
      <c r="G136">
        <v>3471.645</v>
      </c>
      <c r="H136">
        <v>4229.6499999999996</v>
      </c>
      <c r="I136">
        <v>3776.7788103215998</v>
      </c>
      <c r="J136">
        <v>2991.5152560928</v>
      </c>
      <c r="K136">
        <v>4585.7429915659004</v>
      </c>
      <c r="L136">
        <v>3633.4971274447998</v>
      </c>
      <c r="M136">
        <v>143.28168287680001</v>
      </c>
      <c r="N136">
        <v>8.3800000000000008</v>
      </c>
      <c r="O136">
        <v>2610.400311474632</v>
      </c>
      <c r="P136">
        <v>3087.9195127441681</v>
      </c>
      <c r="Q136">
        <f t="shared" si="8"/>
        <v>-1380.4900878905996</v>
      </c>
      <c r="R136">
        <f t="shared" si="9"/>
        <v>-0.48452530938094729</v>
      </c>
      <c r="S136">
        <f t="shared" si="10"/>
        <v>-927.61889821219984</v>
      </c>
      <c r="T136">
        <f t="shared" si="11"/>
        <v>-0.32557628452852588</v>
      </c>
    </row>
    <row r="137" spans="1:20" x14ac:dyDescent="0.3">
      <c r="A137" s="2">
        <v>45748</v>
      </c>
      <c r="B137" t="s">
        <v>27</v>
      </c>
      <c r="C137">
        <v>2721.5300292969</v>
      </c>
      <c r="D137">
        <v>2723</v>
      </c>
      <c r="E137">
        <v>3026.6612708972002</v>
      </c>
      <c r="F137">
        <v>2749.9119999999998</v>
      </c>
      <c r="G137">
        <v>2796.79</v>
      </c>
      <c r="H137">
        <v>2870.58</v>
      </c>
      <c r="I137">
        <v>3026.6612708972002</v>
      </c>
      <c r="J137">
        <v>2217.3993947943</v>
      </c>
      <c r="K137">
        <v>3814.8014301323001</v>
      </c>
      <c r="L137">
        <v>3644.6782442439999</v>
      </c>
      <c r="M137">
        <v>-618.0169733468</v>
      </c>
      <c r="N137">
        <v>8.3800000000000008</v>
      </c>
      <c r="O137">
        <v>2493.46581284182</v>
      </c>
      <c r="P137">
        <v>2949.59424575198</v>
      </c>
      <c r="Q137">
        <f t="shared" si="8"/>
        <v>-149.04997070309992</v>
      </c>
      <c r="R137">
        <f t="shared" si="9"/>
        <v>-5.4766976332650125E-2</v>
      </c>
      <c r="S137">
        <f t="shared" si="10"/>
        <v>-305.1312416003002</v>
      </c>
      <c r="T137">
        <f t="shared" si="11"/>
        <v>-0.11211753620779633</v>
      </c>
    </row>
    <row r="138" spans="1:20" x14ac:dyDescent="0.3">
      <c r="A138" s="2">
        <v>45778</v>
      </c>
      <c r="B138" t="s">
        <v>27</v>
      </c>
      <c r="C138">
        <v>4265.9399414062</v>
      </c>
      <c r="D138">
        <v>4660.74</v>
      </c>
      <c r="E138">
        <v>4371.5757331020004</v>
      </c>
      <c r="F138">
        <v>4120.3980000000001</v>
      </c>
      <c r="G138">
        <v>4355.2700000000004</v>
      </c>
      <c r="H138">
        <v>4049.8</v>
      </c>
      <c r="I138">
        <v>4371.5757331020004</v>
      </c>
      <c r="J138">
        <v>3531.6347614841002</v>
      </c>
      <c r="K138">
        <v>5175.6069327518999</v>
      </c>
      <c r="L138">
        <v>3655.4986798561999</v>
      </c>
      <c r="M138">
        <v>716.07705324580002</v>
      </c>
      <c r="N138">
        <v>8.3800000000000008</v>
      </c>
      <c r="O138">
        <v>3908.45417431636</v>
      </c>
      <c r="P138">
        <v>4623.42570849604</v>
      </c>
      <c r="Q138">
        <f t="shared" si="8"/>
        <v>216.1399414061998</v>
      </c>
      <c r="R138">
        <f t="shared" si="9"/>
        <v>5.0666428588995248E-2</v>
      </c>
      <c r="S138">
        <f t="shared" si="10"/>
        <v>-105.63579169580044</v>
      </c>
      <c r="T138">
        <f t="shared" si="11"/>
        <v>-2.4762606400168696E-2</v>
      </c>
    </row>
    <row r="139" spans="1:20" x14ac:dyDescent="0.3">
      <c r="A139" s="2">
        <v>45809</v>
      </c>
      <c r="B139" t="s">
        <v>27</v>
      </c>
      <c r="C139">
        <v>3861.5300292969</v>
      </c>
      <c r="D139">
        <v>3824.78</v>
      </c>
      <c r="E139">
        <v>3821.9899281636999</v>
      </c>
      <c r="F139">
        <v>3590.56</v>
      </c>
      <c r="G139">
        <v>3743.1350000000002</v>
      </c>
      <c r="H139">
        <v>3661.49</v>
      </c>
      <c r="I139">
        <v>3821.9899281636999</v>
      </c>
      <c r="J139">
        <v>3014.5100576597001</v>
      </c>
      <c r="K139">
        <v>4633.4184372369</v>
      </c>
      <c r="L139">
        <v>3666.6797966554</v>
      </c>
      <c r="M139">
        <v>155.3101315083</v>
      </c>
      <c r="N139">
        <v>8.3800000000000008</v>
      </c>
      <c r="O139">
        <v>3537.9338128418199</v>
      </c>
      <c r="P139">
        <v>4185.1262457519806</v>
      </c>
      <c r="Q139">
        <f t="shared" si="8"/>
        <v>200.04002929690023</v>
      </c>
      <c r="R139">
        <f t="shared" si="9"/>
        <v>5.1803307958043547E-2</v>
      </c>
      <c r="S139">
        <f t="shared" si="10"/>
        <v>39.540101133200096</v>
      </c>
      <c r="T139">
        <f t="shared" si="11"/>
        <v>1.0239490780393979E-2</v>
      </c>
    </row>
    <row r="140" spans="1:20" x14ac:dyDescent="0.3">
      <c r="A140" s="2">
        <v>45839</v>
      </c>
      <c r="B140" t="s">
        <v>27</v>
      </c>
      <c r="C140">
        <v>3853.9799804688</v>
      </c>
      <c r="D140">
        <v>3307.32</v>
      </c>
      <c r="E140">
        <v>4017.4674087243002</v>
      </c>
      <c r="F140">
        <v>3775.076</v>
      </c>
      <c r="G140">
        <v>3552.71</v>
      </c>
      <c r="H140">
        <v>3798.1</v>
      </c>
      <c r="I140">
        <v>4017.4674087243002</v>
      </c>
      <c r="J140">
        <v>3222.1819791579001</v>
      </c>
      <c r="K140">
        <v>4797.6904748088</v>
      </c>
      <c r="L140">
        <v>3677.5002322675</v>
      </c>
      <c r="M140">
        <v>339.96717645669997</v>
      </c>
      <c r="N140">
        <v>8.3800000000000008</v>
      </c>
      <c r="O140">
        <v>3531.0164581055151</v>
      </c>
      <c r="P140">
        <v>4176.9435028320859</v>
      </c>
      <c r="Q140">
        <f t="shared" si="8"/>
        <v>55.879980468800113</v>
      </c>
      <c r="R140">
        <f t="shared" si="9"/>
        <v>1.4499291836488171E-2</v>
      </c>
      <c r="S140">
        <f t="shared" si="10"/>
        <v>-163.48742825550016</v>
      </c>
      <c r="T140">
        <f t="shared" si="11"/>
        <v>-4.242041450241614E-2</v>
      </c>
    </row>
    <row r="141" spans="1:20" x14ac:dyDescent="0.3">
      <c r="A141" s="2">
        <v>45870</v>
      </c>
      <c r="B141" t="s">
        <v>27</v>
      </c>
      <c r="C141">
        <v>4559.7700195312</v>
      </c>
      <c r="D141">
        <v>5641.9</v>
      </c>
      <c r="E141">
        <v>4314.2385709839</v>
      </c>
      <c r="F141">
        <v>3981.2640000000001</v>
      </c>
      <c r="G141">
        <v>4278.37</v>
      </c>
      <c r="H141">
        <v>2914.84</v>
      </c>
      <c r="I141">
        <v>4314.2385709839</v>
      </c>
      <c r="J141">
        <v>3495.5118792986</v>
      </c>
      <c r="K141">
        <v>5158.3916615278004</v>
      </c>
      <c r="L141">
        <v>3688.6813490667</v>
      </c>
      <c r="M141">
        <v>625.55722191719997</v>
      </c>
      <c r="N141">
        <v>8.3800000000000008</v>
      </c>
      <c r="O141">
        <v>4177.6612918944857</v>
      </c>
      <c r="P141">
        <v>4941.8787471679152</v>
      </c>
      <c r="Q141">
        <f t="shared" si="8"/>
        <v>1644.9300195311998</v>
      </c>
      <c r="R141">
        <f t="shared" si="9"/>
        <v>0.36074846154199652</v>
      </c>
      <c r="S141">
        <f t="shared" si="10"/>
        <v>245.53144854729999</v>
      </c>
      <c r="T141">
        <f t="shared" si="11"/>
        <v>5.384733166269285E-2</v>
      </c>
    </row>
    <row r="142" spans="1:20" x14ac:dyDescent="0.3">
      <c r="A142" s="2">
        <v>45901</v>
      </c>
      <c r="B142" t="s">
        <v>27</v>
      </c>
      <c r="C142">
        <v>4746.259765625</v>
      </c>
      <c r="D142">
        <v>4910.12</v>
      </c>
      <c r="E142">
        <v>4466.7752540129004</v>
      </c>
      <c r="F142">
        <v>4067.8580000000002</v>
      </c>
      <c r="G142">
        <v>4525.5349999999999</v>
      </c>
      <c r="H142">
        <v>4140.95</v>
      </c>
      <c r="I142">
        <v>4466.7752540129004</v>
      </c>
      <c r="J142">
        <v>3657.2032445835998</v>
      </c>
      <c r="K142">
        <v>5246.5364303403003</v>
      </c>
      <c r="L142">
        <v>3699.8624658659</v>
      </c>
      <c r="M142">
        <v>766.91278814700001</v>
      </c>
      <c r="N142">
        <v>8.3800000000000008</v>
      </c>
      <c r="O142">
        <v>4348.5231972656247</v>
      </c>
      <c r="P142">
        <v>5143.9963339843753</v>
      </c>
      <c r="Q142">
        <f t="shared" si="8"/>
        <v>605.30976562500018</v>
      </c>
      <c r="R142">
        <f t="shared" si="9"/>
        <v>0.12753405745066534</v>
      </c>
      <c r="S142">
        <f t="shared" si="10"/>
        <v>279.4845116120996</v>
      </c>
      <c r="T142">
        <f t="shared" si="11"/>
        <v>5.888521181168354E-2</v>
      </c>
    </row>
    <row r="143" spans="1:20" x14ac:dyDescent="0.3">
      <c r="A143" s="2">
        <v>45931</v>
      </c>
      <c r="B143" t="s">
        <v>27</v>
      </c>
      <c r="C143">
        <v>3454.9284667969</v>
      </c>
      <c r="E143">
        <v>4242.0807133899998</v>
      </c>
      <c r="F143">
        <v>4078.2424999999998</v>
      </c>
      <c r="G143">
        <v>4528.01</v>
      </c>
      <c r="H143">
        <v>3598.82</v>
      </c>
      <c r="I143">
        <v>4242.0807133899998</v>
      </c>
      <c r="J143">
        <v>3484.7598206787002</v>
      </c>
      <c r="K143">
        <v>5083.9751460399002</v>
      </c>
      <c r="L143">
        <v>3710.6829014781001</v>
      </c>
      <c r="M143">
        <v>531.39781191199995</v>
      </c>
      <c r="N143">
        <v>8.3800000000000008</v>
      </c>
      <c r="O143">
        <v>3165.4054612793202</v>
      </c>
      <c r="P143">
        <v>3744.4514723144812</v>
      </c>
      <c r="Q143">
        <f t="shared" si="8"/>
        <v>-143.89153320310015</v>
      </c>
      <c r="R143">
        <f t="shared" si="9"/>
        <v>-4.1648194625720711E-2</v>
      </c>
      <c r="S143">
        <f t="shared" si="10"/>
        <v>-787.15224659309979</v>
      </c>
      <c r="T143">
        <f t="shared" si="11"/>
        <v>-0.22783460038548259</v>
      </c>
    </row>
    <row r="144" spans="1:20" x14ac:dyDescent="0.3">
      <c r="A144" s="2">
        <v>45962</v>
      </c>
      <c r="B144" t="s">
        <v>27</v>
      </c>
      <c r="C144">
        <v>3361.8015136719</v>
      </c>
      <c r="E144">
        <v>3967.7468602396998</v>
      </c>
      <c r="F144">
        <v>3714.72</v>
      </c>
      <c r="G144">
        <v>3410.3449999999998</v>
      </c>
      <c r="H144">
        <v>3320.54</v>
      </c>
      <c r="I144">
        <v>3967.7468602396998</v>
      </c>
      <c r="J144">
        <v>3165.9859315837998</v>
      </c>
      <c r="K144">
        <v>4796.1220102389998</v>
      </c>
      <c r="L144">
        <v>3721.8640182773001</v>
      </c>
      <c r="M144">
        <v>245.88284196239999</v>
      </c>
      <c r="N144">
        <v>8.3800000000000008</v>
      </c>
      <c r="O144">
        <v>3080.0825468261951</v>
      </c>
      <c r="P144">
        <v>3643.5204805176049</v>
      </c>
      <c r="Q144">
        <f t="shared" si="8"/>
        <v>41.261513671900047</v>
      </c>
      <c r="R144">
        <f t="shared" si="9"/>
        <v>1.2273631713263315E-2</v>
      </c>
      <c r="S144">
        <f t="shared" si="10"/>
        <v>-605.94534656779979</v>
      </c>
      <c r="T144">
        <f t="shared" si="11"/>
        <v>-0.18024423634278186</v>
      </c>
    </row>
    <row r="145" spans="1:20" x14ac:dyDescent="0.3">
      <c r="A145" s="2">
        <v>45992</v>
      </c>
      <c r="B145" t="s">
        <v>27</v>
      </c>
      <c r="C145">
        <v>4861.1416015625</v>
      </c>
      <c r="E145">
        <v>4087.0983769688</v>
      </c>
      <c r="F145">
        <v>3733.3325</v>
      </c>
      <c r="G145">
        <v>3973.28</v>
      </c>
      <c r="H145">
        <v>4578.99</v>
      </c>
      <c r="I145">
        <v>4087.0983769688</v>
      </c>
      <c r="J145">
        <v>3251.6928004586998</v>
      </c>
      <c r="K145">
        <v>4936.8549916078</v>
      </c>
      <c r="L145">
        <v>3732.6844538894002</v>
      </c>
      <c r="M145">
        <v>354.41392307939998</v>
      </c>
      <c r="N145">
        <v>8.3800000000000008</v>
      </c>
      <c r="O145">
        <v>4453.7779353515634</v>
      </c>
      <c r="P145">
        <v>5268.5052677734384</v>
      </c>
      <c r="Q145">
        <f t="shared" si="8"/>
        <v>282.15160156250022</v>
      </c>
      <c r="R145">
        <f t="shared" si="9"/>
        <v>5.8042251118916019E-2</v>
      </c>
      <c r="S145">
        <f t="shared" si="10"/>
        <v>774.04322459369996</v>
      </c>
      <c r="T145">
        <f t="shared" si="11"/>
        <v>0.15923075031282816</v>
      </c>
    </row>
    <row r="146" spans="1:20" x14ac:dyDescent="0.3">
      <c r="A146" s="2">
        <v>45658</v>
      </c>
      <c r="B146" t="s">
        <v>28</v>
      </c>
      <c r="C146">
        <v>306.5599975586</v>
      </c>
      <c r="D146">
        <v>182.51</v>
      </c>
      <c r="E146">
        <v>550.20612395650005</v>
      </c>
      <c r="F146">
        <v>437.92</v>
      </c>
      <c r="G146">
        <v>242.60499999999999</v>
      </c>
      <c r="H146">
        <v>302.7</v>
      </c>
      <c r="I146">
        <v>550.20612395650005</v>
      </c>
      <c r="J146">
        <v>275.58880021200002</v>
      </c>
      <c r="K146">
        <v>824.81794124309999</v>
      </c>
      <c r="L146">
        <v>312.70537763419998</v>
      </c>
      <c r="M146">
        <v>237.50074632229999</v>
      </c>
      <c r="N146">
        <v>52.98</v>
      </c>
      <c r="O146">
        <v>144.14451085205371</v>
      </c>
      <c r="P146">
        <v>468.97548426514618</v>
      </c>
      <c r="Q146">
        <f t="shared" si="8"/>
        <v>3.8599975586000141</v>
      </c>
      <c r="R146">
        <f t="shared" si="9"/>
        <v>1.259132825332882E-2</v>
      </c>
      <c r="S146">
        <f t="shared" si="10"/>
        <v>-243.64612639790005</v>
      </c>
      <c r="T146">
        <f t="shared" si="11"/>
        <v>-0.79477468795101436</v>
      </c>
    </row>
    <row r="147" spans="1:20" x14ac:dyDescent="0.3">
      <c r="A147" s="2">
        <v>45689</v>
      </c>
      <c r="B147" t="s">
        <v>28</v>
      </c>
      <c r="C147">
        <v>274.60000610349999</v>
      </c>
      <c r="D147">
        <v>329.02</v>
      </c>
      <c r="E147">
        <v>405.54554764369999</v>
      </c>
      <c r="F147">
        <v>251.80199999999999</v>
      </c>
      <c r="G147">
        <v>164.51</v>
      </c>
      <c r="H147">
        <v>0</v>
      </c>
      <c r="I147">
        <v>405.54554764369999</v>
      </c>
      <c r="J147">
        <v>115.28791018779999</v>
      </c>
      <c r="K147">
        <v>696.91538220860002</v>
      </c>
      <c r="L147">
        <v>314.79298217669998</v>
      </c>
      <c r="M147">
        <v>90.752565466999997</v>
      </c>
      <c r="N147">
        <v>52.98</v>
      </c>
      <c r="O147">
        <v>129.1169228698657</v>
      </c>
      <c r="P147">
        <v>420.08308933713431</v>
      </c>
      <c r="Q147">
        <f t="shared" si="8"/>
        <v>274.60000610349999</v>
      </c>
      <c r="R147">
        <f t="shared" si="9"/>
        <v>1</v>
      </c>
      <c r="S147">
        <f t="shared" si="10"/>
        <v>-130.9455415402</v>
      </c>
      <c r="T147">
        <f t="shared" si="11"/>
        <v>-0.47685920841110641</v>
      </c>
    </row>
    <row r="148" spans="1:20" x14ac:dyDescent="0.3">
      <c r="A148" s="2">
        <v>45717</v>
      </c>
      <c r="B148" t="s">
        <v>28</v>
      </c>
      <c r="C148">
        <v>274.60000610349999</v>
      </c>
      <c r="D148">
        <v>131.21</v>
      </c>
      <c r="E148">
        <v>267.74644042099999</v>
      </c>
      <c r="F148">
        <v>219.13200000000001</v>
      </c>
      <c r="G148">
        <v>190.01</v>
      </c>
      <c r="H148">
        <v>248.81</v>
      </c>
      <c r="I148">
        <v>267.74644042099999</v>
      </c>
      <c r="J148">
        <v>-19.325373148099999</v>
      </c>
      <c r="K148">
        <v>552.44754848139996</v>
      </c>
      <c r="L148">
        <v>316.67856047319998</v>
      </c>
      <c r="M148">
        <v>-48.932120052199998</v>
      </c>
      <c r="N148">
        <v>52.98</v>
      </c>
      <c r="O148">
        <v>129.1169228698657</v>
      </c>
      <c r="P148">
        <v>420.08308933713431</v>
      </c>
      <c r="Q148">
        <f t="shared" si="8"/>
        <v>25.790006103499991</v>
      </c>
      <c r="R148">
        <f t="shared" si="9"/>
        <v>9.3918446941983799E-2</v>
      </c>
      <c r="S148">
        <f t="shared" si="10"/>
        <v>6.8535656825000046</v>
      </c>
      <c r="T148">
        <f t="shared" si="11"/>
        <v>2.4958359541757673E-2</v>
      </c>
    </row>
    <row r="149" spans="1:20" x14ac:dyDescent="0.3">
      <c r="A149" s="2">
        <v>45748</v>
      </c>
      <c r="B149" t="s">
        <v>28</v>
      </c>
      <c r="C149">
        <v>107.9400024414</v>
      </c>
      <c r="D149">
        <v>78.900000000000006</v>
      </c>
      <c r="E149">
        <v>345.47025656480002</v>
      </c>
      <c r="F149">
        <v>382.60399999999998</v>
      </c>
      <c r="G149">
        <v>181.44499999999999</v>
      </c>
      <c r="H149">
        <v>283.99</v>
      </c>
      <c r="I149">
        <v>345.47025656480002</v>
      </c>
      <c r="J149">
        <v>74.963583524900002</v>
      </c>
      <c r="K149">
        <v>620.5862457124</v>
      </c>
      <c r="L149">
        <v>318.76616501569998</v>
      </c>
      <c r="M149">
        <v>26.704091549099999</v>
      </c>
      <c r="N149">
        <v>52.98</v>
      </c>
      <c r="O149">
        <v>50.753389147946287</v>
      </c>
      <c r="P149">
        <v>165.12661573485369</v>
      </c>
      <c r="Q149">
        <f t="shared" si="8"/>
        <v>-176.04999755860001</v>
      </c>
      <c r="R149">
        <f t="shared" si="9"/>
        <v>-1.6309986434748929</v>
      </c>
      <c r="S149">
        <f t="shared" si="10"/>
        <v>-237.53025412340003</v>
      </c>
      <c r="T149">
        <f t="shared" si="11"/>
        <v>-2.2005766977108774</v>
      </c>
    </row>
    <row r="150" spans="1:20" x14ac:dyDescent="0.3">
      <c r="A150" s="2">
        <v>45778</v>
      </c>
      <c r="B150" t="s">
        <v>28</v>
      </c>
      <c r="C150">
        <v>110.37000274659999</v>
      </c>
      <c r="D150">
        <v>230.05</v>
      </c>
      <c r="E150">
        <v>214.7295461041</v>
      </c>
      <c r="F150">
        <v>152.05000000000001</v>
      </c>
      <c r="G150">
        <v>209.73</v>
      </c>
      <c r="H150">
        <v>189.41</v>
      </c>
      <c r="I150">
        <v>214.7295461041</v>
      </c>
      <c r="J150">
        <v>-73.411058475499999</v>
      </c>
      <c r="K150">
        <v>501.9569259598</v>
      </c>
      <c r="L150">
        <v>320.7864274762</v>
      </c>
      <c r="M150">
        <v>-106.05688137209999</v>
      </c>
      <c r="N150">
        <v>52.98</v>
      </c>
      <c r="O150">
        <v>51.895975291451322</v>
      </c>
      <c r="P150">
        <v>168.84403020174861</v>
      </c>
      <c r="Q150">
        <f t="shared" si="8"/>
        <v>-79.039997253400003</v>
      </c>
      <c r="R150">
        <f t="shared" si="9"/>
        <v>-0.71613658862425711</v>
      </c>
      <c r="S150">
        <f t="shared" si="10"/>
        <v>-104.3595433575</v>
      </c>
      <c r="T150">
        <f t="shared" si="11"/>
        <v>-0.94554263622789347</v>
      </c>
    </row>
    <row r="151" spans="1:20" x14ac:dyDescent="0.3">
      <c r="A151" s="2">
        <v>45809</v>
      </c>
      <c r="B151" t="s">
        <v>28</v>
      </c>
      <c r="C151">
        <v>301.54998779300001</v>
      </c>
      <c r="D151">
        <v>697.12</v>
      </c>
      <c r="E151">
        <v>356.16730698269998</v>
      </c>
      <c r="F151">
        <v>283.06200000000001</v>
      </c>
      <c r="G151">
        <v>447.66</v>
      </c>
      <c r="H151">
        <v>198.2</v>
      </c>
      <c r="I151">
        <v>356.16730698269998</v>
      </c>
      <c r="J151">
        <v>72.804017998700004</v>
      </c>
      <c r="K151">
        <v>629.51785744649999</v>
      </c>
      <c r="L151">
        <v>322.87403201879999</v>
      </c>
      <c r="M151">
        <v>33.293274963899997</v>
      </c>
      <c r="N151">
        <v>52.98</v>
      </c>
      <c r="O151">
        <v>141.78880426026859</v>
      </c>
      <c r="P151">
        <v>461.31117132573138</v>
      </c>
      <c r="Q151">
        <f t="shared" si="8"/>
        <v>103.34998779300003</v>
      </c>
      <c r="R151">
        <f t="shared" si="9"/>
        <v>0.34272920569290477</v>
      </c>
      <c r="S151">
        <f t="shared" si="10"/>
        <v>-54.61731918969997</v>
      </c>
      <c r="T151">
        <f t="shared" si="11"/>
        <v>-0.18112194130544024</v>
      </c>
    </row>
    <row r="152" spans="1:20" x14ac:dyDescent="0.3">
      <c r="A152" s="2">
        <v>45839</v>
      </c>
      <c r="B152" t="s">
        <v>28</v>
      </c>
      <c r="C152">
        <v>264.63000488279999</v>
      </c>
      <c r="D152">
        <v>1293.46</v>
      </c>
      <c r="E152">
        <v>451.96568922120002</v>
      </c>
      <c r="F152">
        <v>357.142</v>
      </c>
      <c r="G152">
        <v>721.80499999999995</v>
      </c>
      <c r="H152">
        <v>150.15</v>
      </c>
      <c r="I152">
        <v>451.96568922120002</v>
      </c>
      <c r="J152">
        <v>159.2012959159</v>
      </c>
      <c r="K152">
        <v>741.36500689319996</v>
      </c>
      <c r="L152">
        <v>324.89429447930002</v>
      </c>
      <c r="M152">
        <v>127.07139474189999</v>
      </c>
      <c r="N152">
        <v>52.98</v>
      </c>
      <c r="O152">
        <v>124.42902829589261</v>
      </c>
      <c r="P152">
        <v>404.83098146970741</v>
      </c>
      <c r="Q152">
        <f t="shared" si="8"/>
        <v>114.48000488279999</v>
      </c>
      <c r="R152">
        <f t="shared" si="9"/>
        <v>0.43260402361969946</v>
      </c>
      <c r="S152">
        <f t="shared" si="10"/>
        <v>-187.33568433840003</v>
      </c>
      <c r="T152">
        <f t="shared" si="11"/>
        <v>-0.707915507999056</v>
      </c>
    </row>
    <row r="153" spans="1:20" x14ac:dyDescent="0.3">
      <c r="A153" s="2">
        <v>45870</v>
      </c>
      <c r="B153" t="s">
        <v>28</v>
      </c>
      <c r="C153">
        <v>264.63000488279999</v>
      </c>
      <c r="D153">
        <v>115.76</v>
      </c>
      <c r="E153">
        <v>207.36704741899999</v>
      </c>
      <c r="F153">
        <v>183.97200000000001</v>
      </c>
      <c r="G153">
        <v>189.54499999999999</v>
      </c>
      <c r="H153">
        <v>263.33</v>
      </c>
      <c r="I153">
        <v>207.36704741899999</v>
      </c>
      <c r="J153">
        <v>-80.591096228699996</v>
      </c>
      <c r="K153">
        <v>473.94084698260002</v>
      </c>
      <c r="L153">
        <v>326.98189902180002</v>
      </c>
      <c r="M153">
        <v>-119.6148516028</v>
      </c>
      <c r="N153">
        <v>52.98</v>
      </c>
      <c r="O153">
        <v>124.42902829589261</v>
      </c>
      <c r="P153">
        <v>404.83098146970741</v>
      </c>
      <c r="Q153">
        <f t="shared" si="8"/>
        <v>1.3000048828000104</v>
      </c>
      <c r="R153">
        <f t="shared" si="9"/>
        <v>4.9125377274423579E-3</v>
      </c>
      <c r="S153">
        <f t="shared" si="10"/>
        <v>57.262957463800007</v>
      </c>
      <c r="T153">
        <f t="shared" si="11"/>
        <v>0.21638875564832782</v>
      </c>
    </row>
    <row r="154" spans="1:20" x14ac:dyDescent="0.3">
      <c r="A154" s="2">
        <v>45901</v>
      </c>
      <c r="B154" t="s">
        <v>28</v>
      </c>
      <c r="C154">
        <v>264.63000488279999</v>
      </c>
      <c r="D154">
        <v>300.02999999999997</v>
      </c>
      <c r="E154">
        <v>334.74743832669998</v>
      </c>
      <c r="F154">
        <v>265.62599999999998</v>
      </c>
      <c r="G154">
        <v>329.75</v>
      </c>
      <c r="H154">
        <v>359.47</v>
      </c>
      <c r="I154">
        <v>334.74743832669998</v>
      </c>
      <c r="J154">
        <v>53.665607479099997</v>
      </c>
      <c r="K154">
        <v>615.53072608529999</v>
      </c>
      <c r="L154">
        <v>329.06950356440001</v>
      </c>
      <c r="M154">
        <v>5.6779347622999996</v>
      </c>
      <c r="N154">
        <v>52.98</v>
      </c>
      <c r="O154">
        <v>124.42902829589261</v>
      </c>
      <c r="P154">
        <v>404.83098146970741</v>
      </c>
      <c r="Q154">
        <f t="shared" si="8"/>
        <v>-94.839995117200033</v>
      </c>
      <c r="R154">
        <f t="shared" si="9"/>
        <v>-0.35838715703913854</v>
      </c>
      <c r="S154">
        <f t="shared" si="10"/>
        <v>-70.117433443899984</v>
      </c>
      <c r="T154">
        <f t="shared" si="11"/>
        <v>-0.26496403336784796</v>
      </c>
    </row>
    <row r="155" spans="1:20" x14ac:dyDescent="0.3">
      <c r="A155" s="2">
        <v>45931</v>
      </c>
      <c r="B155" t="s">
        <v>28</v>
      </c>
      <c r="C155">
        <v>292.78457641599999</v>
      </c>
      <c r="E155">
        <v>241.39274527169999</v>
      </c>
      <c r="F155">
        <v>228.3075</v>
      </c>
      <c r="G155">
        <v>54.27</v>
      </c>
      <c r="H155">
        <v>73.14</v>
      </c>
      <c r="I155">
        <v>241.39274527169999</v>
      </c>
      <c r="J155">
        <v>-70.758229948799993</v>
      </c>
      <c r="K155">
        <v>504.81943228189999</v>
      </c>
      <c r="L155">
        <v>331.08976602489997</v>
      </c>
      <c r="M155">
        <v>-89.697020753199993</v>
      </c>
      <c r="N155">
        <v>52.98</v>
      </c>
      <c r="O155">
        <v>137.6673078308032</v>
      </c>
      <c r="P155">
        <v>447.90184500119682</v>
      </c>
      <c r="Q155">
        <f t="shared" si="8"/>
        <v>219.64457641600001</v>
      </c>
      <c r="R155">
        <f t="shared" si="9"/>
        <v>0.75019175909020641</v>
      </c>
      <c r="S155">
        <f t="shared" si="10"/>
        <v>51.391831144299999</v>
      </c>
      <c r="T155">
        <f t="shared" si="11"/>
        <v>0.17552779512292491</v>
      </c>
    </row>
    <row r="156" spans="1:20" x14ac:dyDescent="0.3">
      <c r="A156" s="2">
        <v>45962</v>
      </c>
      <c r="B156" t="s">
        <v>28</v>
      </c>
      <c r="C156">
        <v>390.15649414059999</v>
      </c>
      <c r="E156">
        <v>364.2394759238</v>
      </c>
      <c r="F156">
        <v>343.73500000000001</v>
      </c>
      <c r="G156">
        <v>264.19</v>
      </c>
      <c r="H156">
        <v>298.72000000000003</v>
      </c>
      <c r="I156">
        <v>364.2394759238</v>
      </c>
      <c r="J156">
        <v>105.75763640060001</v>
      </c>
      <c r="K156">
        <v>662.06939396630003</v>
      </c>
      <c r="L156">
        <v>333.17737056739998</v>
      </c>
      <c r="M156">
        <v>31.0621053564</v>
      </c>
      <c r="N156">
        <v>52.98</v>
      </c>
      <c r="O156">
        <v>183.45158354491011</v>
      </c>
      <c r="P156">
        <v>596.86140473628984</v>
      </c>
      <c r="Q156">
        <f t="shared" si="8"/>
        <v>91.436494140599962</v>
      </c>
      <c r="R156">
        <f t="shared" si="9"/>
        <v>0.2343585087363666</v>
      </c>
      <c r="S156">
        <f t="shared" si="10"/>
        <v>25.917018216799988</v>
      </c>
      <c r="T156">
        <f t="shared" si="11"/>
        <v>6.6427237803352621E-2</v>
      </c>
    </row>
    <row r="157" spans="1:20" x14ac:dyDescent="0.3">
      <c r="A157" s="2">
        <v>45992</v>
      </c>
      <c r="B157" t="s">
        <v>28</v>
      </c>
      <c r="C157">
        <v>648.29602050779999</v>
      </c>
      <c r="E157">
        <v>644.23638658829998</v>
      </c>
      <c r="F157">
        <v>552.16250000000002</v>
      </c>
      <c r="G157">
        <v>765.96500000000003</v>
      </c>
      <c r="H157">
        <v>911.06</v>
      </c>
      <c r="I157">
        <v>644.23638658829998</v>
      </c>
      <c r="J157">
        <v>354.94338924390001</v>
      </c>
      <c r="K157">
        <v>919.84137218310002</v>
      </c>
      <c r="L157">
        <v>335.1976330279</v>
      </c>
      <c r="M157">
        <v>309.03875356039998</v>
      </c>
      <c r="N157">
        <v>52.98</v>
      </c>
      <c r="O157">
        <v>304.82878884276761</v>
      </c>
      <c r="P157">
        <v>991.76325217283227</v>
      </c>
      <c r="Q157">
        <f t="shared" si="8"/>
        <v>-262.76397949219995</v>
      </c>
      <c r="R157">
        <f t="shared" si="9"/>
        <v>-0.40531481172193701</v>
      </c>
      <c r="S157">
        <f t="shared" si="10"/>
        <v>4.0596339195000155</v>
      </c>
      <c r="T157">
        <f t="shared" si="11"/>
        <v>6.2620065388033211E-3</v>
      </c>
    </row>
    <row r="158" spans="1:20" x14ac:dyDescent="0.3">
      <c r="A158" s="2">
        <v>45658</v>
      </c>
      <c r="B158" t="s">
        <v>29</v>
      </c>
      <c r="C158">
        <v>4589.2998046875</v>
      </c>
      <c r="D158">
        <v>4588.32</v>
      </c>
      <c r="E158">
        <v>4715.7692487470003</v>
      </c>
      <c r="F158">
        <v>4440.75</v>
      </c>
      <c r="G158">
        <v>3800.32</v>
      </c>
      <c r="H158">
        <v>3012.32</v>
      </c>
      <c r="I158">
        <v>4715.7692487470003</v>
      </c>
      <c r="J158">
        <v>3859.8333395739</v>
      </c>
      <c r="K158">
        <v>5580.1175286567004</v>
      </c>
      <c r="L158">
        <v>3538.8177080119999</v>
      </c>
      <c r="M158">
        <v>1176.951540735</v>
      </c>
      <c r="N158">
        <v>13.42</v>
      </c>
      <c r="O158">
        <v>3973.415770898438</v>
      </c>
      <c r="P158">
        <v>5205.1838384765624</v>
      </c>
      <c r="Q158">
        <f t="shared" si="8"/>
        <v>1576.9798046874998</v>
      </c>
      <c r="R158">
        <f t="shared" si="9"/>
        <v>0.34362100359553244</v>
      </c>
      <c r="S158">
        <f t="shared" si="10"/>
        <v>-126.46944405950035</v>
      </c>
      <c r="T158">
        <f t="shared" si="11"/>
        <v>-2.755745962168886E-2</v>
      </c>
    </row>
    <row r="159" spans="1:20" x14ac:dyDescent="0.3">
      <c r="A159" s="2">
        <v>45689</v>
      </c>
      <c r="B159" t="s">
        <v>29</v>
      </c>
      <c r="C159">
        <v>3316.6999511719</v>
      </c>
      <c r="D159">
        <v>2582.75</v>
      </c>
      <c r="E159">
        <v>3406.5085369178</v>
      </c>
      <c r="F159">
        <v>3831.1379999999999</v>
      </c>
      <c r="G159">
        <v>3021.2249999999999</v>
      </c>
      <c r="H159">
        <v>3459.7</v>
      </c>
      <c r="I159">
        <v>3406.5085369178</v>
      </c>
      <c r="J159">
        <v>2537.5021415203</v>
      </c>
      <c r="K159">
        <v>4220.0408700460002</v>
      </c>
      <c r="L159">
        <v>3532.0234018952001</v>
      </c>
      <c r="M159">
        <v>-125.51486497739999</v>
      </c>
      <c r="N159">
        <v>13.42</v>
      </c>
      <c r="O159">
        <v>2871.5988177246309</v>
      </c>
      <c r="P159">
        <v>3761.8010846191692</v>
      </c>
      <c r="Q159">
        <f t="shared" si="8"/>
        <v>-143.00004882809981</v>
      </c>
      <c r="R159">
        <f t="shared" si="9"/>
        <v>-4.3115159928040263E-2</v>
      </c>
      <c r="S159">
        <f t="shared" si="10"/>
        <v>-89.808585745900018</v>
      </c>
      <c r="T159">
        <f t="shared" si="11"/>
        <v>-2.7077693812540285E-2</v>
      </c>
    </row>
    <row r="160" spans="1:20" x14ac:dyDescent="0.3">
      <c r="A160" s="2">
        <v>45717</v>
      </c>
      <c r="B160" t="s">
        <v>29</v>
      </c>
      <c r="C160">
        <v>3677.7700195312</v>
      </c>
      <c r="D160">
        <v>3775.1</v>
      </c>
      <c r="E160">
        <v>3363.6702828314001</v>
      </c>
      <c r="F160">
        <v>3460.806</v>
      </c>
      <c r="G160">
        <v>3983.165</v>
      </c>
      <c r="H160">
        <v>4191.2299999999996</v>
      </c>
      <c r="I160">
        <v>3363.6702828314001</v>
      </c>
      <c r="J160">
        <v>2509.4828942191002</v>
      </c>
      <c r="K160">
        <v>4215.9889340643003</v>
      </c>
      <c r="L160">
        <v>3525.8866092735998</v>
      </c>
      <c r="M160">
        <v>-162.2163264422</v>
      </c>
      <c r="N160">
        <v>13.42</v>
      </c>
      <c r="O160">
        <v>3184.2132829101129</v>
      </c>
      <c r="P160">
        <v>4171.3267561522862</v>
      </c>
      <c r="Q160">
        <f t="shared" si="8"/>
        <v>-513.45998046879959</v>
      </c>
      <c r="R160">
        <f t="shared" si="9"/>
        <v>-0.13961176956199386</v>
      </c>
      <c r="S160">
        <f t="shared" si="10"/>
        <v>314.09973669979991</v>
      </c>
      <c r="T160">
        <f t="shared" si="11"/>
        <v>8.540494240578908E-2</v>
      </c>
    </row>
    <row r="161" spans="1:20" x14ac:dyDescent="0.3">
      <c r="A161" s="2">
        <v>45748</v>
      </c>
      <c r="B161" t="s">
        <v>29</v>
      </c>
      <c r="C161">
        <v>3928.8701171875</v>
      </c>
      <c r="D161">
        <v>4066.91</v>
      </c>
      <c r="E161">
        <v>3636.9619407304999</v>
      </c>
      <c r="F161">
        <v>3743.8359999999998</v>
      </c>
      <c r="G161">
        <v>3977.2849999999999</v>
      </c>
      <c r="H161">
        <v>3887.66</v>
      </c>
      <c r="I161">
        <v>3636.9619407304999</v>
      </c>
      <c r="J161">
        <v>2815.0343085896002</v>
      </c>
      <c r="K161">
        <v>4490.9508397999998</v>
      </c>
      <c r="L161">
        <v>3519.0923031568</v>
      </c>
      <c r="M161">
        <v>117.86963757380001</v>
      </c>
      <c r="N161">
        <v>13.42</v>
      </c>
      <c r="O161">
        <v>3401.6157474609381</v>
      </c>
      <c r="P161">
        <v>4456.1244869140619</v>
      </c>
      <c r="Q161">
        <f t="shared" si="8"/>
        <v>41.210117187500146</v>
      </c>
      <c r="R161">
        <f t="shared" si="9"/>
        <v>1.0489050530639735E-2</v>
      </c>
      <c r="S161">
        <f t="shared" si="10"/>
        <v>291.90817645700008</v>
      </c>
      <c r="T161">
        <f t="shared" si="11"/>
        <v>7.4298250578454836E-2</v>
      </c>
    </row>
    <row r="162" spans="1:20" x14ac:dyDescent="0.3">
      <c r="A162" s="2">
        <v>45778</v>
      </c>
      <c r="B162" t="s">
        <v>29</v>
      </c>
      <c r="C162">
        <v>3887.5200195312</v>
      </c>
      <c r="D162">
        <v>3977.27</v>
      </c>
      <c r="E162">
        <v>3418.3471170025</v>
      </c>
      <c r="F162">
        <v>3788.252</v>
      </c>
      <c r="G162">
        <v>3691.2449999999999</v>
      </c>
      <c r="H162">
        <v>3405.22</v>
      </c>
      <c r="I162">
        <v>3418.3471170025</v>
      </c>
      <c r="J162">
        <v>2588.8898828634001</v>
      </c>
      <c r="K162">
        <v>4265.6745644466</v>
      </c>
      <c r="L162">
        <v>3512.517168205</v>
      </c>
      <c r="M162">
        <v>-94.170051202500005</v>
      </c>
      <c r="N162">
        <v>13.42</v>
      </c>
      <c r="O162">
        <v>3365.8148329101132</v>
      </c>
      <c r="P162">
        <v>4409.2252061522868</v>
      </c>
      <c r="Q162">
        <f t="shared" si="8"/>
        <v>482.30001953120018</v>
      </c>
      <c r="R162">
        <f t="shared" si="9"/>
        <v>0.12406367481275665</v>
      </c>
      <c r="S162">
        <f t="shared" si="10"/>
        <v>469.17290252869998</v>
      </c>
      <c r="T162">
        <f t="shared" si="11"/>
        <v>0.12068694184764045</v>
      </c>
    </row>
    <row r="163" spans="1:20" x14ac:dyDescent="0.3">
      <c r="A163" s="2">
        <v>45809</v>
      </c>
      <c r="B163" t="s">
        <v>29</v>
      </c>
      <c r="C163">
        <v>3161.5600585938</v>
      </c>
      <c r="D163">
        <v>2954.46</v>
      </c>
      <c r="E163">
        <v>3539.1523095642001</v>
      </c>
      <c r="F163">
        <v>3605.652</v>
      </c>
      <c r="G163">
        <v>3798.4850000000001</v>
      </c>
      <c r="H163">
        <v>4642.51</v>
      </c>
      <c r="I163">
        <v>3539.1523095642001</v>
      </c>
      <c r="J163">
        <v>2757.6374231904001</v>
      </c>
      <c r="K163">
        <v>4445.3159510922997</v>
      </c>
      <c r="L163">
        <v>3505.7228620882001</v>
      </c>
      <c r="M163">
        <v>33.429447476100002</v>
      </c>
      <c r="N163">
        <v>13.42</v>
      </c>
      <c r="O163">
        <v>2737.2786987305121</v>
      </c>
      <c r="P163">
        <v>3585.841418457087</v>
      </c>
      <c r="Q163">
        <f t="shared" si="8"/>
        <v>-1480.9499414062002</v>
      </c>
      <c r="R163">
        <f t="shared" si="9"/>
        <v>-0.46842378887620995</v>
      </c>
      <c r="S163">
        <f t="shared" si="10"/>
        <v>-377.59225097040007</v>
      </c>
      <c r="T163">
        <f t="shared" si="11"/>
        <v>-0.11943225621921151</v>
      </c>
    </row>
    <row r="164" spans="1:20" x14ac:dyDescent="0.3">
      <c r="A164" s="2">
        <v>45839</v>
      </c>
      <c r="B164" t="s">
        <v>29</v>
      </c>
      <c r="C164">
        <v>3572.6000976562</v>
      </c>
      <c r="D164">
        <v>3542.1</v>
      </c>
      <c r="E164">
        <v>3422.0951732236999</v>
      </c>
      <c r="F164">
        <v>3512.2919999999999</v>
      </c>
      <c r="G164">
        <v>3303.2049999999999</v>
      </c>
      <c r="H164">
        <v>3064.31</v>
      </c>
      <c r="I164">
        <v>3422.0951732236999</v>
      </c>
      <c r="J164">
        <v>2591.1788947034001</v>
      </c>
      <c r="K164">
        <v>4280.2290868042001</v>
      </c>
      <c r="L164">
        <v>3499.1477271364001</v>
      </c>
      <c r="M164">
        <v>-77.052553912700006</v>
      </c>
      <c r="N164">
        <v>13.42</v>
      </c>
      <c r="O164">
        <v>3093.1571645507379</v>
      </c>
      <c r="P164">
        <v>4052.0430307616621</v>
      </c>
      <c r="Q164">
        <f t="shared" si="8"/>
        <v>508.29009765620003</v>
      </c>
      <c r="R164">
        <f t="shared" si="9"/>
        <v>0.14227455739859132</v>
      </c>
      <c r="S164">
        <f t="shared" si="10"/>
        <v>150.50492443250005</v>
      </c>
      <c r="T164">
        <f t="shared" si="11"/>
        <v>4.2127559849544485E-2</v>
      </c>
    </row>
    <row r="165" spans="1:20" x14ac:dyDescent="0.3">
      <c r="A165" s="2">
        <v>45870</v>
      </c>
      <c r="B165" t="s">
        <v>29</v>
      </c>
      <c r="C165">
        <v>3523.2700195312</v>
      </c>
      <c r="D165">
        <v>4388.12</v>
      </c>
      <c r="E165">
        <v>3524.3175110061002</v>
      </c>
      <c r="F165">
        <v>3693.9160000000002</v>
      </c>
      <c r="G165">
        <v>3594.72</v>
      </c>
      <c r="H165">
        <v>2801.32</v>
      </c>
      <c r="I165">
        <v>3524.3175110061002</v>
      </c>
      <c r="J165">
        <v>2704.8054948668</v>
      </c>
      <c r="K165">
        <v>4344.0202399728996</v>
      </c>
      <c r="L165">
        <v>3492.3534210195999</v>
      </c>
      <c r="M165">
        <v>31.964089986499999</v>
      </c>
      <c r="N165">
        <v>13.42</v>
      </c>
      <c r="O165">
        <v>3050.447182910113</v>
      </c>
      <c r="P165">
        <v>3996.092856152286</v>
      </c>
      <c r="Q165">
        <f t="shared" si="8"/>
        <v>721.95001953119981</v>
      </c>
      <c r="R165">
        <f t="shared" si="9"/>
        <v>0.20490908035123043</v>
      </c>
      <c r="S165">
        <f t="shared" si="10"/>
        <v>-1.0474914749001982</v>
      </c>
      <c r="T165">
        <f t="shared" si="11"/>
        <v>-2.973066126335601E-4</v>
      </c>
    </row>
    <row r="166" spans="1:20" x14ac:dyDescent="0.3">
      <c r="A166" s="2">
        <v>45901</v>
      </c>
      <c r="B166" t="s">
        <v>29</v>
      </c>
      <c r="C166">
        <v>3663.9699707031</v>
      </c>
      <c r="D166">
        <v>3261.26</v>
      </c>
      <c r="E166">
        <v>3519.0296984419001</v>
      </c>
      <c r="F166">
        <v>3703.1880000000001</v>
      </c>
      <c r="G166">
        <v>2749.94</v>
      </c>
      <c r="H166">
        <v>2238.62</v>
      </c>
      <c r="I166">
        <v>3519.0296984419001</v>
      </c>
      <c r="J166">
        <v>2655.8611802512</v>
      </c>
      <c r="K166">
        <v>4312.8323049333003</v>
      </c>
      <c r="L166">
        <v>3485.5591149028</v>
      </c>
      <c r="M166">
        <v>33.470583539099998</v>
      </c>
      <c r="N166">
        <v>13.42</v>
      </c>
      <c r="O166">
        <v>3172.2652006347439</v>
      </c>
      <c r="P166">
        <v>4155.6747407714556</v>
      </c>
      <c r="Q166">
        <f t="shared" si="8"/>
        <v>1425.3499707031001</v>
      </c>
      <c r="R166">
        <f t="shared" si="9"/>
        <v>0.38901791829630677</v>
      </c>
      <c r="S166">
        <f t="shared" si="10"/>
        <v>144.94027226119988</v>
      </c>
      <c r="T166">
        <f t="shared" si="11"/>
        <v>3.955825877944804E-2</v>
      </c>
    </row>
    <row r="167" spans="1:20" x14ac:dyDescent="0.3">
      <c r="A167" s="2">
        <v>45931</v>
      </c>
      <c r="B167" t="s">
        <v>29</v>
      </c>
      <c r="C167">
        <v>3480.8818359375</v>
      </c>
      <c r="E167">
        <v>3023.5641934903001</v>
      </c>
      <c r="F167">
        <v>3200.57</v>
      </c>
      <c r="G167">
        <v>3585.4949999999999</v>
      </c>
      <c r="H167">
        <v>3319.88</v>
      </c>
      <c r="I167">
        <v>3023.5641934903001</v>
      </c>
      <c r="J167">
        <v>2164.3436688756001</v>
      </c>
      <c r="K167">
        <v>3866.6780423778</v>
      </c>
      <c r="L167">
        <v>3478.983979951</v>
      </c>
      <c r="M167">
        <v>-455.41978646080003</v>
      </c>
      <c r="N167">
        <v>13.42</v>
      </c>
      <c r="O167">
        <v>3013.747493554687</v>
      </c>
      <c r="P167">
        <v>3948.0161783203121</v>
      </c>
      <c r="Q167">
        <f t="shared" si="8"/>
        <v>161.00183593749989</v>
      </c>
      <c r="R167">
        <f t="shared" si="9"/>
        <v>4.6253174777516552E-2</v>
      </c>
      <c r="S167">
        <f t="shared" si="10"/>
        <v>457.31764244719989</v>
      </c>
      <c r="T167">
        <f t="shared" si="11"/>
        <v>0.13137982384973182</v>
      </c>
    </row>
    <row r="168" spans="1:20" x14ac:dyDescent="0.3">
      <c r="A168" s="2">
        <v>45962</v>
      </c>
      <c r="B168" t="s">
        <v>29</v>
      </c>
      <c r="C168">
        <v>3231.978515625</v>
      </c>
      <c r="E168">
        <v>2863.1237512082998</v>
      </c>
      <c r="F168">
        <v>3128.9775</v>
      </c>
      <c r="G168">
        <v>3214.39</v>
      </c>
      <c r="H168">
        <v>3199.79</v>
      </c>
      <c r="I168">
        <v>2863.1237512082998</v>
      </c>
      <c r="J168">
        <v>1976.5132995208</v>
      </c>
      <c r="K168">
        <v>3714.4531159134999</v>
      </c>
      <c r="L168">
        <v>3472.1896738342002</v>
      </c>
      <c r="M168">
        <v>-609.06592262590004</v>
      </c>
      <c r="N168">
        <v>13.42</v>
      </c>
      <c r="O168">
        <v>2798.246998828125</v>
      </c>
      <c r="P168">
        <v>3665.710032421875</v>
      </c>
      <c r="Q168">
        <f t="shared" si="8"/>
        <v>32.188515625000036</v>
      </c>
      <c r="R168">
        <f t="shared" si="9"/>
        <v>9.9593841572227851E-3</v>
      </c>
      <c r="S168">
        <f t="shared" si="10"/>
        <v>368.85476441670016</v>
      </c>
      <c r="T168">
        <f t="shared" si="11"/>
        <v>0.11412661397143323</v>
      </c>
    </row>
    <row r="169" spans="1:20" x14ac:dyDescent="0.3">
      <c r="A169" s="2">
        <v>45992</v>
      </c>
      <c r="B169" t="s">
        <v>29</v>
      </c>
      <c r="C169">
        <v>3352.4399414062</v>
      </c>
      <c r="E169">
        <v>3409.6409023234</v>
      </c>
      <c r="F169">
        <v>3682.6149999999998</v>
      </c>
      <c r="G169">
        <v>3847.75</v>
      </c>
      <c r="H169">
        <v>4022.05</v>
      </c>
      <c r="I169">
        <v>3409.6409023234</v>
      </c>
      <c r="J169">
        <v>2589.3644444893998</v>
      </c>
      <c r="K169">
        <v>4255.2155435928998</v>
      </c>
      <c r="L169">
        <v>3465.6145388824002</v>
      </c>
      <c r="M169">
        <v>-55.973636558999999</v>
      </c>
      <c r="N169">
        <v>13.42</v>
      </c>
      <c r="O169">
        <v>2902.5425012694882</v>
      </c>
      <c r="P169">
        <v>3802.3373815429122</v>
      </c>
      <c r="Q169">
        <f t="shared" si="8"/>
        <v>-669.6100585938002</v>
      </c>
      <c r="R169">
        <f t="shared" si="9"/>
        <v>-0.19973812217286985</v>
      </c>
      <c r="S169">
        <f t="shared" si="10"/>
        <v>-57.200960917200064</v>
      </c>
      <c r="T169">
        <f t="shared" si="11"/>
        <v>-1.7062486403024657E-2</v>
      </c>
    </row>
    <row r="170" spans="1:20" x14ac:dyDescent="0.3">
      <c r="A170" s="2">
        <v>45658</v>
      </c>
      <c r="B170" t="s">
        <v>30</v>
      </c>
      <c r="C170">
        <v>4983.0400390625</v>
      </c>
      <c r="D170">
        <v>5042.09</v>
      </c>
      <c r="E170">
        <v>5172.1299006735999</v>
      </c>
      <c r="F170">
        <v>4800.826</v>
      </c>
      <c r="G170">
        <v>4648.3649999999998</v>
      </c>
      <c r="H170">
        <v>4254.6400000000003</v>
      </c>
      <c r="I170">
        <v>5172.1299006735999</v>
      </c>
      <c r="J170">
        <v>3948.3743432972001</v>
      </c>
      <c r="K170">
        <v>6240.1485795737999</v>
      </c>
      <c r="L170">
        <v>4084.3631865020998</v>
      </c>
      <c r="M170">
        <v>1087.7667141715001</v>
      </c>
      <c r="N170">
        <v>12.75</v>
      </c>
      <c r="O170">
        <v>4347.7024340820317</v>
      </c>
      <c r="P170">
        <v>5618.3776440429683</v>
      </c>
      <c r="Q170">
        <f t="shared" si="8"/>
        <v>728.40003906249967</v>
      </c>
      <c r="R170">
        <f t="shared" si="9"/>
        <v>0.14617583510317117</v>
      </c>
      <c r="S170">
        <f t="shared" si="10"/>
        <v>-189.08986161109988</v>
      </c>
      <c r="T170">
        <f t="shared" si="11"/>
        <v>-3.7946687188705572E-2</v>
      </c>
    </row>
    <row r="171" spans="1:20" x14ac:dyDescent="0.3">
      <c r="A171" s="2">
        <v>45689</v>
      </c>
      <c r="B171" t="s">
        <v>30</v>
      </c>
      <c r="C171">
        <v>3378.25</v>
      </c>
      <c r="D171">
        <v>3357.88</v>
      </c>
      <c r="E171">
        <v>5005.7444465275003</v>
      </c>
      <c r="F171">
        <v>4767.1760000000004</v>
      </c>
      <c r="G171">
        <v>3908.4749999999999</v>
      </c>
      <c r="H171">
        <v>4459.07</v>
      </c>
      <c r="I171">
        <v>5005.7444465275003</v>
      </c>
      <c r="J171">
        <v>3858.1033007532001</v>
      </c>
      <c r="K171">
        <v>6178.7307374311004</v>
      </c>
      <c r="L171">
        <v>4093.127266904</v>
      </c>
      <c r="M171">
        <v>912.61717962349996</v>
      </c>
      <c r="N171">
        <v>12.75</v>
      </c>
      <c r="O171">
        <v>2947.5231250000002</v>
      </c>
      <c r="P171">
        <v>3808.9768749999998</v>
      </c>
      <c r="Q171">
        <f t="shared" si="8"/>
        <v>-1080.8199999999997</v>
      </c>
      <c r="R171">
        <f t="shared" si="9"/>
        <v>-0.31993487752534588</v>
      </c>
      <c r="S171">
        <f t="shared" si="10"/>
        <v>-1627.4944465275003</v>
      </c>
      <c r="T171">
        <f t="shared" si="11"/>
        <v>-0.48175666292533126</v>
      </c>
    </row>
    <row r="172" spans="1:20" x14ac:dyDescent="0.3">
      <c r="A172" s="2">
        <v>45717</v>
      </c>
      <c r="B172" t="s">
        <v>30</v>
      </c>
      <c r="C172">
        <v>3998.2199707031</v>
      </c>
      <c r="D172">
        <v>5252.54</v>
      </c>
      <c r="E172">
        <v>3781.5728684764999</v>
      </c>
      <c r="F172">
        <v>3624.3620000000001</v>
      </c>
      <c r="G172">
        <v>4982.7849999999999</v>
      </c>
      <c r="H172">
        <v>4713.03</v>
      </c>
      <c r="I172">
        <v>3781.5728684764999</v>
      </c>
      <c r="J172">
        <v>2683.9635062985999</v>
      </c>
      <c r="K172">
        <v>4919.3692716960004</v>
      </c>
      <c r="L172">
        <v>4101.0432104928004</v>
      </c>
      <c r="M172">
        <v>-319.47034201629998</v>
      </c>
      <c r="N172">
        <v>12.75</v>
      </c>
      <c r="O172">
        <v>3488.446924438455</v>
      </c>
      <c r="P172">
        <v>4507.9930169677446</v>
      </c>
      <c r="Q172">
        <f t="shared" si="8"/>
        <v>-714.81002929689976</v>
      </c>
      <c r="R172">
        <f t="shared" si="9"/>
        <v>-0.17878206665332574</v>
      </c>
      <c r="S172">
        <f t="shared" si="10"/>
        <v>216.64710222660005</v>
      </c>
      <c r="T172">
        <f t="shared" si="11"/>
        <v>5.4185888673979575E-2</v>
      </c>
    </row>
    <row r="173" spans="1:20" x14ac:dyDescent="0.3">
      <c r="A173" s="2">
        <v>45748</v>
      </c>
      <c r="B173" t="s">
        <v>30</v>
      </c>
      <c r="C173">
        <v>3555.4399414062</v>
      </c>
      <c r="D173">
        <v>3640.27</v>
      </c>
      <c r="E173">
        <v>3646.0128831381999</v>
      </c>
      <c r="F173">
        <v>3397.732</v>
      </c>
      <c r="G173">
        <v>3839.84</v>
      </c>
      <c r="H173">
        <v>4039.41</v>
      </c>
      <c r="I173">
        <v>3646.0128831381999</v>
      </c>
      <c r="J173">
        <v>2422.623334805</v>
      </c>
      <c r="K173">
        <v>4774.1815751752001</v>
      </c>
      <c r="L173">
        <v>4109.8072908947997</v>
      </c>
      <c r="M173">
        <v>-463.79440775659998</v>
      </c>
      <c r="N173">
        <v>12.75</v>
      </c>
      <c r="O173">
        <v>3102.121348876909</v>
      </c>
      <c r="P173">
        <v>4008.758533935491</v>
      </c>
      <c r="Q173">
        <f t="shared" si="8"/>
        <v>-483.97005859379988</v>
      </c>
      <c r="R173">
        <f t="shared" si="9"/>
        <v>-0.13612100515538073</v>
      </c>
      <c r="S173">
        <f t="shared" si="10"/>
        <v>-90.57294173199989</v>
      </c>
      <c r="T173">
        <f t="shared" si="11"/>
        <v>-2.5474468202148198E-2</v>
      </c>
    </row>
    <row r="174" spans="1:20" x14ac:dyDescent="0.3">
      <c r="A174" s="2">
        <v>45778</v>
      </c>
      <c r="B174" t="s">
        <v>30</v>
      </c>
      <c r="C174">
        <v>3692.6799316406</v>
      </c>
      <c r="D174">
        <v>4123.8500000000004</v>
      </c>
      <c r="E174">
        <v>3956.2282222765002</v>
      </c>
      <c r="F174">
        <v>3624.578</v>
      </c>
      <c r="G174">
        <v>5038.41</v>
      </c>
      <c r="H174">
        <v>5952.97</v>
      </c>
      <c r="I174">
        <v>3956.2282222765002</v>
      </c>
      <c r="J174">
        <v>2825.0381143974</v>
      </c>
      <c r="K174">
        <v>5064.2767482543004</v>
      </c>
      <c r="L174">
        <v>4118.2886590257003</v>
      </c>
      <c r="M174">
        <v>-162.06043674919999</v>
      </c>
      <c r="N174">
        <v>12.75</v>
      </c>
      <c r="O174">
        <v>3221.8632403564238</v>
      </c>
      <c r="P174">
        <v>4163.4966229247766</v>
      </c>
      <c r="Q174">
        <f t="shared" si="8"/>
        <v>-2260.2900683594003</v>
      </c>
      <c r="R174">
        <f t="shared" si="9"/>
        <v>-0.61210018474446792</v>
      </c>
      <c r="S174">
        <f t="shared" si="10"/>
        <v>-263.54829063590023</v>
      </c>
      <c r="T174">
        <f t="shared" si="11"/>
        <v>-7.1370466846502417E-2</v>
      </c>
    </row>
    <row r="175" spans="1:20" x14ac:dyDescent="0.3">
      <c r="A175" s="2">
        <v>45809</v>
      </c>
      <c r="B175" t="s">
        <v>30</v>
      </c>
      <c r="C175">
        <v>3508.1999511719</v>
      </c>
      <c r="D175">
        <v>3437.47</v>
      </c>
      <c r="E175">
        <v>4073.6651488301</v>
      </c>
      <c r="F175">
        <v>4130.46</v>
      </c>
      <c r="G175">
        <v>3913.58</v>
      </c>
      <c r="H175">
        <v>4389.6899999999996</v>
      </c>
      <c r="I175">
        <v>4073.6651488301</v>
      </c>
      <c r="J175">
        <v>2968.0502933941998</v>
      </c>
      <c r="K175">
        <v>5177.5403660927004</v>
      </c>
      <c r="L175">
        <v>4127.0527394275996</v>
      </c>
      <c r="M175">
        <v>-53.387590597500001</v>
      </c>
      <c r="N175">
        <v>12.75</v>
      </c>
      <c r="O175">
        <v>3060.9044573974829</v>
      </c>
      <c r="P175">
        <v>3955.4954449463171</v>
      </c>
      <c r="Q175">
        <f t="shared" si="8"/>
        <v>-881.49004882809959</v>
      </c>
      <c r="R175">
        <f t="shared" si="9"/>
        <v>-0.25126562370928757</v>
      </c>
      <c r="S175">
        <f t="shared" si="10"/>
        <v>-565.46519765819994</v>
      </c>
      <c r="T175">
        <f t="shared" si="11"/>
        <v>-0.16118385654423961</v>
      </c>
    </row>
    <row r="176" spans="1:20" x14ac:dyDescent="0.3">
      <c r="A176" s="2">
        <v>45839</v>
      </c>
      <c r="B176" t="s">
        <v>30</v>
      </c>
      <c r="C176">
        <v>3956.6799316406</v>
      </c>
      <c r="D176">
        <v>3418.77</v>
      </c>
      <c r="E176">
        <v>3837.6087218934999</v>
      </c>
      <c r="F176">
        <v>3579.4659999999999</v>
      </c>
      <c r="G176">
        <v>3293.41</v>
      </c>
      <c r="H176">
        <v>3168.05</v>
      </c>
      <c r="I176">
        <v>3837.6087218934999</v>
      </c>
      <c r="J176">
        <v>2666.2264059063</v>
      </c>
      <c r="K176">
        <v>4977.7232108907001</v>
      </c>
      <c r="L176">
        <v>4135.5341075585002</v>
      </c>
      <c r="M176">
        <v>-297.92538566500002</v>
      </c>
      <c r="N176">
        <v>12.75</v>
      </c>
      <c r="O176">
        <v>3452.203240356424</v>
      </c>
      <c r="P176">
        <v>4461.1566229247755</v>
      </c>
      <c r="Q176">
        <f t="shared" si="8"/>
        <v>788.62993164059981</v>
      </c>
      <c r="R176">
        <f t="shared" si="9"/>
        <v>0.19931607945695062</v>
      </c>
      <c r="S176">
        <f t="shared" si="10"/>
        <v>119.07120974710006</v>
      </c>
      <c r="T176">
        <f t="shared" si="11"/>
        <v>3.0093717916103539E-2</v>
      </c>
    </row>
    <row r="177" spans="1:20" x14ac:dyDescent="0.3">
      <c r="A177" s="2">
        <v>45870</v>
      </c>
      <c r="B177" t="s">
        <v>30</v>
      </c>
      <c r="C177">
        <v>4063.6398925781</v>
      </c>
      <c r="D177">
        <v>5214.8999999999996</v>
      </c>
      <c r="E177">
        <v>4123.6669284418003</v>
      </c>
      <c r="F177">
        <v>3745.4760000000001</v>
      </c>
      <c r="G177">
        <v>4370.42</v>
      </c>
      <c r="H177">
        <v>3525.94</v>
      </c>
      <c r="I177">
        <v>4123.6669284418003</v>
      </c>
      <c r="J177">
        <v>3057.4068712989001</v>
      </c>
      <c r="K177">
        <v>5331.9796118063996</v>
      </c>
      <c r="L177">
        <v>4144.2981879604004</v>
      </c>
      <c r="M177">
        <v>-20.631259518699999</v>
      </c>
      <c r="N177">
        <v>12.75</v>
      </c>
      <c r="O177">
        <v>3545.5258062743919</v>
      </c>
      <c r="P177">
        <v>4581.7539788818076</v>
      </c>
      <c r="Q177">
        <f t="shared" si="8"/>
        <v>537.69989257809993</v>
      </c>
      <c r="R177">
        <f t="shared" si="9"/>
        <v>0.13231976917053206</v>
      </c>
      <c r="S177">
        <f t="shared" si="10"/>
        <v>-60.027035863700348</v>
      </c>
      <c r="T177">
        <f t="shared" si="11"/>
        <v>-1.4771740963891691E-2</v>
      </c>
    </row>
    <row r="178" spans="1:20" x14ac:dyDescent="0.3">
      <c r="A178" s="2">
        <v>45901</v>
      </c>
      <c r="B178" t="s">
        <v>30</v>
      </c>
      <c r="C178">
        <v>4063.6398925781</v>
      </c>
      <c r="D178">
        <v>2872.5</v>
      </c>
      <c r="E178">
        <v>4041.2425352260002</v>
      </c>
      <c r="F178">
        <v>3870.3980000000001</v>
      </c>
      <c r="G178">
        <v>2947.5749999999998</v>
      </c>
      <c r="H178">
        <v>3022.65</v>
      </c>
      <c r="I178">
        <v>4041.2425352260002</v>
      </c>
      <c r="J178">
        <v>2914.6863967868999</v>
      </c>
      <c r="K178">
        <v>5144.5871524984004</v>
      </c>
      <c r="L178">
        <v>4153.0622683623997</v>
      </c>
      <c r="M178">
        <v>-111.8197331363</v>
      </c>
      <c r="N178">
        <v>12.75</v>
      </c>
      <c r="O178">
        <v>3545.5258062743919</v>
      </c>
      <c r="P178">
        <v>4581.7539788818076</v>
      </c>
      <c r="Q178">
        <f t="shared" si="8"/>
        <v>1040.9898925780999</v>
      </c>
      <c r="R178">
        <f t="shared" si="9"/>
        <v>0.25617178689464615</v>
      </c>
      <c r="S178">
        <f t="shared" si="10"/>
        <v>22.397357352099789</v>
      </c>
      <c r="T178">
        <f t="shared" si="11"/>
        <v>5.5116491480966846E-3</v>
      </c>
    </row>
    <row r="179" spans="1:20" x14ac:dyDescent="0.3">
      <c r="A179" s="2">
        <v>45931</v>
      </c>
      <c r="B179" t="s">
        <v>30</v>
      </c>
      <c r="C179">
        <v>4141.2275390625</v>
      </c>
      <c r="E179">
        <v>4515.3350930408997</v>
      </c>
      <c r="F179">
        <v>4335.1824999999999</v>
      </c>
      <c r="G179">
        <v>4716.9549999999999</v>
      </c>
      <c r="H179">
        <v>3695.19</v>
      </c>
      <c r="I179">
        <v>4515.3350930408997</v>
      </c>
      <c r="J179">
        <v>3374.3803145308998</v>
      </c>
      <c r="K179">
        <v>5724.9752799232001</v>
      </c>
      <c r="L179">
        <v>4161.5436364933003</v>
      </c>
      <c r="M179">
        <v>353.79145654770002</v>
      </c>
      <c r="N179">
        <v>12.75</v>
      </c>
      <c r="O179">
        <v>3613.2210278320308</v>
      </c>
      <c r="P179">
        <v>4669.2340502929683</v>
      </c>
      <c r="Q179">
        <f t="shared" si="8"/>
        <v>446.03753906249995</v>
      </c>
      <c r="R179">
        <f t="shared" si="9"/>
        <v>0.10770660024237037</v>
      </c>
      <c r="S179">
        <f t="shared" si="10"/>
        <v>-374.10755397839966</v>
      </c>
      <c r="T179">
        <f t="shared" si="11"/>
        <v>-9.0337357812290353E-2</v>
      </c>
    </row>
    <row r="180" spans="1:20" x14ac:dyDescent="0.3">
      <c r="A180" s="2">
        <v>45962</v>
      </c>
      <c r="B180" t="s">
        <v>30</v>
      </c>
      <c r="C180">
        <v>2876.4326171875</v>
      </c>
      <c r="E180">
        <v>3926.5581900244001</v>
      </c>
      <c r="F180">
        <v>3623.5425</v>
      </c>
      <c r="G180">
        <v>4403.6049999999996</v>
      </c>
      <c r="H180">
        <v>3790.06</v>
      </c>
      <c r="I180">
        <v>3926.5581900244001</v>
      </c>
      <c r="J180">
        <v>2801.2840193881998</v>
      </c>
      <c r="K180">
        <v>5004.2607979784998</v>
      </c>
      <c r="L180">
        <v>4170.3077168952004</v>
      </c>
      <c r="M180">
        <v>-243.7495268708</v>
      </c>
      <c r="N180">
        <v>12.75</v>
      </c>
      <c r="O180">
        <v>2509.6874584960942</v>
      </c>
      <c r="P180">
        <v>3243.1777758789058</v>
      </c>
      <c r="Q180">
        <f t="shared" si="8"/>
        <v>-913.62738281249995</v>
      </c>
      <c r="R180">
        <f t="shared" si="9"/>
        <v>-0.31762516436273092</v>
      </c>
      <c r="S180">
        <f t="shared" si="10"/>
        <v>-1050.1255728369001</v>
      </c>
      <c r="T180">
        <f t="shared" si="11"/>
        <v>-0.36507914927751212</v>
      </c>
    </row>
    <row r="181" spans="1:20" x14ac:dyDescent="0.3">
      <c r="A181" s="2">
        <v>45992</v>
      </c>
      <c r="B181" t="s">
        <v>30</v>
      </c>
      <c r="C181">
        <v>3627.83203125</v>
      </c>
      <c r="E181">
        <v>3592.5756733130002</v>
      </c>
      <c r="F181">
        <v>3422.11</v>
      </c>
      <c r="G181">
        <v>3442.43</v>
      </c>
      <c r="H181">
        <v>2835.51</v>
      </c>
      <c r="I181">
        <v>3592.5756733130002</v>
      </c>
      <c r="J181">
        <v>2415.5938491023999</v>
      </c>
      <c r="K181">
        <v>4670.5036028048999</v>
      </c>
      <c r="L181">
        <v>4178.7890850261001</v>
      </c>
      <c r="M181">
        <v>-586.21341171309996</v>
      </c>
      <c r="N181">
        <v>12.75</v>
      </c>
      <c r="O181">
        <v>3165.283447265625</v>
      </c>
      <c r="P181">
        <v>4090.380615234375</v>
      </c>
      <c r="Q181">
        <f t="shared" si="8"/>
        <v>792.32203124999978</v>
      </c>
      <c r="R181">
        <f t="shared" si="9"/>
        <v>0.21840096907049983</v>
      </c>
      <c r="S181">
        <f t="shared" si="10"/>
        <v>35.256357936999848</v>
      </c>
      <c r="T181">
        <f t="shared" si="11"/>
        <v>9.7182994232651865E-3</v>
      </c>
    </row>
    <row r="182" spans="1:20" x14ac:dyDescent="0.3">
      <c r="A182" s="2">
        <v>45658</v>
      </c>
      <c r="B182" t="s">
        <v>31</v>
      </c>
      <c r="C182">
        <v>4027.3601074219</v>
      </c>
      <c r="D182">
        <v>4318.4399999999996</v>
      </c>
      <c r="E182">
        <v>3287.7265014481</v>
      </c>
      <c r="F182">
        <v>3812.9940000000001</v>
      </c>
      <c r="G182">
        <v>3762.7649999999999</v>
      </c>
      <c r="H182">
        <v>3207.09</v>
      </c>
      <c r="I182">
        <v>3287.7265014481</v>
      </c>
      <c r="J182">
        <v>2204.7321654227999</v>
      </c>
      <c r="K182">
        <v>4331.9643503561001</v>
      </c>
      <c r="L182">
        <v>3340.2152458290002</v>
      </c>
      <c r="M182">
        <v>-52.488744380900002</v>
      </c>
      <c r="N182">
        <v>19.98</v>
      </c>
      <c r="O182">
        <v>3222.693557959004</v>
      </c>
      <c r="P182">
        <v>4832.0266568847956</v>
      </c>
      <c r="Q182">
        <f t="shared" si="8"/>
        <v>820.27010742189987</v>
      </c>
      <c r="R182">
        <f t="shared" si="9"/>
        <v>0.2036743885678981</v>
      </c>
      <c r="S182">
        <f t="shared" si="10"/>
        <v>739.63360597380006</v>
      </c>
      <c r="T182">
        <f t="shared" si="11"/>
        <v>0.18365221540799187</v>
      </c>
    </row>
    <row r="183" spans="1:20" x14ac:dyDescent="0.3">
      <c r="A183" s="2">
        <v>45689</v>
      </c>
      <c r="B183" t="s">
        <v>31</v>
      </c>
      <c r="C183">
        <v>3027.4299316406</v>
      </c>
      <c r="D183">
        <v>2666.36</v>
      </c>
      <c r="E183">
        <v>3187.3534463292999</v>
      </c>
      <c r="F183">
        <v>3396.1219999999998</v>
      </c>
      <c r="G183">
        <v>2153.1350000000002</v>
      </c>
      <c r="H183">
        <v>1639.91</v>
      </c>
      <c r="I183">
        <v>3187.3534463292999</v>
      </c>
      <c r="J183">
        <v>2058.7437477201001</v>
      </c>
      <c r="K183">
        <v>4241.7093909208998</v>
      </c>
      <c r="L183">
        <v>3324.4470969170002</v>
      </c>
      <c r="M183">
        <v>-137.0936505878</v>
      </c>
      <c r="N183">
        <v>19.98</v>
      </c>
      <c r="O183">
        <v>2422.549431298808</v>
      </c>
      <c r="P183">
        <v>3632.3104319823919</v>
      </c>
      <c r="Q183">
        <f t="shared" si="8"/>
        <v>1387.5199316405999</v>
      </c>
      <c r="R183">
        <f t="shared" si="9"/>
        <v>0.45831611729117261</v>
      </c>
      <c r="S183">
        <f t="shared" si="10"/>
        <v>-159.92351468869992</v>
      </c>
      <c r="T183">
        <f t="shared" si="11"/>
        <v>-5.2824844273781583E-2</v>
      </c>
    </row>
    <row r="184" spans="1:20" x14ac:dyDescent="0.3">
      <c r="A184" s="2">
        <v>45717</v>
      </c>
      <c r="B184" t="s">
        <v>31</v>
      </c>
      <c r="C184">
        <v>4266.0498046875</v>
      </c>
      <c r="D184">
        <v>4984.37</v>
      </c>
      <c r="E184">
        <v>3825.4714871973001</v>
      </c>
      <c r="F184">
        <v>4031.2159999999999</v>
      </c>
      <c r="G184">
        <v>5667.6949999999997</v>
      </c>
      <c r="H184">
        <v>6351.02</v>
      </c>
      <c r="I184">
        <v>3825.4714871973001</v>
      </c>
      <c r="J184">
        <v>2817.9775893661999</v>
      </c>
      <c r="K184">
        <v>4939.8899148996998</v>
      </c>
      <c r="L184">
        <v>3310.2048978997</v>
      </c>
      <c r="M184">
        <v>515.26658929749999</v>
      </c>
      <c r="N184">
        <v>19.98</v>
      </c>
      <c r="O184">
        <v>3413.693053710937</v>
      </c>
      <c r="P184">
        <v>5118.4065556640626</v>
      </c>
      <c r="Q184">
        <f t="shared" si="8"/>
        <v>-2084.9701953125004</v>
      </c>
      <c r="R184">
        <f t="shared" si="9"/>
        <v>-0.488735549458788</v>
      </c>
      <c r="S184">
        <f t="shared" si="10"/>
        <v>440.57831749019988</v>
      </c>
      <c r="T184">
        <f t="shared" si="11"/>
        <v>0.1032754744227543</v>
      </c>
    </row>
    <row r="185" spans="1:20" x14ac:dyDescent="0.3">
      <c r="A185" s="2">
        <v>45748</v>
      </c>
      <c r="B185" t="s">
        <v>31</v>
      </c>
      <c r="C185">
        <v>3525.5600585938</v>
      </c>
      <c r="D185">
        <v>3420.56</v>
      </c>
      <c r="E185">
        <v>3272.6048804899001</v>
      </c>
      <c r="F185">
        <v>3699.732</v>
      </c>
      <c r="G185">
        <v>3631.1</v>
      </c>
      <c r="H185">
        <v>3841.64</v>
      </c>
      <c r="I185">
        <v>3272.6048804899001</v>
      </c>
      <c r="J185">
        <v>2154.6937842935999</v>
      </c>
      <c r="K185">
        <v>4333.2797816732</v>
      </c>
      <c r="L185">
        <v>3294.4367489878</v>
      </c>
      <c r="M185">
        <v>-21.8318684979</v>
      </c>
      <c r="N185">
        <v>19.98</v>
      </c>
      <c r="O185">
        <v>2821.1531588867588</v>
      </c>
      <c r="P185">
        <v>4229.9669583008408</v>
      </c>
      <c r="Q185">
        <f t="shared" si="8"/>
        <v>-316.07994140619985</v>
      </c>
      <c r="R185">
        <f t="shared" si="9"/>
        <v>-8.9653824116747868E-2</v>
      </c>
      <c r="S185">
        <f t="shared" si="10"/>
        <v>252.95517810389993</v>
      </c>
      <c r="T185">
        <f t="shared" si="11"/>
        <v>7.1748934608929421E-2</v>
      </c>
    </row>
    <row r="186" spans="1:20" x14ac:dyDescent="0.3">
      <c r="A186" s="2">
        <v>45778</v>
      </c>
      <c r="B186" t="s">
        <v>31</v>
      </c>
      <c r="C186">
        <v>3091.6298828125</v>
      </c>
      <c r="D186">
        <v>2891.32</v>
      </c>
      <c r="E186">
        <v>3428.2100861455001</v>
      </c>
      <c r="F186">
        <v>3966.75</v>
      </c>
      <c r="G186">
        <v>2926.6149999999998</v>
      </c>
      <c r="H186">
        <v>2961.91</v>
      </c>
      <c r="I186">
        <v>3428.2100861455001</v>
      </c>
      <c r="J186">
        <v>2348.4811001819999</v>
      </c>
      <c r="K186">
        <v>4536.6157242434001</v>
      </c>
      <c r="L186">
        <v>3279.1772500407001</v>
      </c>
      <c r="M186">
        <v>149.0328361048</v>
      </c>
      <c r="N186">
        <v>19.98</v>
      </c>
      <c r="O186">
        <v>2473.9222322265632</v>
      </c>
      <c r="P186">
        <v>3709.3375333984368</v>
      </c>
      <c r="Q186">
        <f t="shared" si="8"/>
        <v>129.71988281250015</v>
      </c>
      <c r="R186">
        <f t="shared" si="9"/>
        <v>4.1958412788561904E-2</v>
      </c>
      <c r="S186">
        <f t="shared" si="10"/>
        <v>-336.5802033330001</v>
      </c>
      <c r="T186">
        <f t="shared" si="11"/>
        <v>-0.10886820741518007</v>
      </c>
    </row>
    <row r="187" spans="1:20" x14ac:dyDescent="0.3">
      <c r="A187" s="2">
        <v>45809</v>
      </c>
      <c r="B187" t="s">
        <v>31</v>
      </c>
      <c r="C187">
        <v>3304.1999511719</v>
      </c>
      <c r="D187">
        <v>3375.75</v>
      </c>
      <c r="E187">
        <v>3526.1611384685002</v>
      </c>
      <c r="F187">
        <v>3712.924</v>
      </c>
      <c r="G187">
        <v>3815.105</v>
      </c>
      <c r="H187">
        <v>4254.46</v>
      </c>
      <c r="I187">
        <v>3526.1611384685002</v>
      </c>
      <c r="J187">
        <v>2445.9038296417998</v>
      </c>
      <c r="K187">
        <v>4648.3487528671003</v>
      </c>
      <c r="L187">
        <v>3263.4091011287001</v>
      </c>
      <c r="M187">
        <v>262.75203733990003</v>
      </c>
      <c r="N187">
        <v>19.98</v>
      </c>
      <c r="O187">
        <v>2644.020800927754</v>
      </c>
      <c r="P187">
        <v>3964.3791014160461</v>
      </c>
      <c r="Q187">
        <f t="shared" si="8"/>
        <v>-950.26004882810003</v>
      </c>
      <c r="R187">
        <f t="shared" si="9"/>
        <v>-0.28759156917579137</v>
      </c>
      <c r="S187">
        <f t="shared" si="10"/>
        <v>-221.9611872966002</v>
      </c>
      <c r="T187">
        <f t="shared" si="11"/>
        <v>-6.7175470787679561E-2</v>
      </c>
    </row>
    <row r="188" spans="1:20" x14ac:dyDescent="0.3">
      <c r="A188" s="2">
        <v>45839</v>
      </c>
      <c r="B188" t="s">
        <v>31</v>
      </c>
      <c r="C188">
        <v>3753.7099609375</v>
      </c>
      <c r="D188">
        <v>2811.11</v>
      </c>
      <c r="E188">
        <v>3523.4997449821999</v>
      </c>
      <c r="F188">
        <v>4019.0920000000001</v>
      </c>
      <c r="G188">
        <v>3192.7849999999999</v>
      </c>
      <c r="H188">
        <v>3574.46</v>
      </c>
      <c r="I188">
        <v>3523.4997449821999</v>
      </c>
      <c r="J188">
        <v>2425.3334503032002</v>
      </c>
      <c r="K188">
        <v>4589.8972853142996</v>
      </c>
      <c r="L188">
        <v>3248.1496021816001</v>
      </c>
      <c r="M188">
        <v>275.3501428006</v>
      </c>
      <c r="N188">
        <v>19.98</v>
      </c>
      <c r="O188">
        <v>3003.7187107421878</v>
      </c>
      <c r="P188">
        <v>4503.7012111328122</v>
      </c>
      <c r="Q188">
        <f t="shared" si="8"/>
        <v>179.24996093749996</v>
      </c>
      <c r="R188">
        <f t="shared" si="9"/>
        <v>4.7752746696692508E-2</v>
      </c>
      <c r="S188">
        <f t="shared" si="10"/>
        <v>230.2102159553001</v>
      </c>
      <c r="T188">
        <f t="shared" si="11"/>
        <v>6.1328717016219447E-2</v>
      </c>
    </row>
    <row r="189" spans="1:20" x14ac:dyDescent="0.3">
      <c r="A189" s="2">
        <v>45870</v>
      </c>
      <c r="B189" t="s">
        <v>31</v>
      </c>
      <c r="C189">
        <v>3915.8898925781</v>
      </c>
      <c r="D189">
        <v>2834.75</v>
      </c>
      <c r="E189">
        <v>2890.0634328314</v>
      </c>
      <c r="F189">
        <v>3372.5320000000002</v>
      </c>
      <c r="G189">
        <v>2343.9050000000002</v>
      </c>
      <c r="H189">
        <v>1853.06</v>
      </c>
      <c r="I189">
        <v>2890.0634328314</v>
      </c>
      <c r="J189">
        <v>1823.4364123130999</v>
      </c>
      <c r="K189">
        <v>3963.9377907328999</v>
      </c>
      <c r="L189">
        <v>3232.3814532696001</v>
      </c>
      <c r="M189">
        <v>-342.31802043819999</v>
      </c>
      <c r="N189">
        <v>19.98</v>
      </c>
      <c r="O189">
        <v>3133.495092040996</v>
      </c>
      <c r="P189">
        <v>4698.2846931152044</v>
      </c>
      <c r="Q189">
        <f t="shared" si="8"/>
        <v>2062.8298925781</v>
      </c>
      <c r="R189">
        <f t="shared" si="9"/>
        <v>0.5267844472562524</v>
      </c>
      <c r="S189">
        <f t="shared" si="10"/>
        <v>1025.8264597467</v>
      </c>
      <c r="T189">
        <f t="shared" si="11"/>
        <v>0.26196509296417625</v>
      </c>
    </row>
    <row r="190" spans="1:20" x14ac:dyDescent="0.3">
      <c r="A190" s="2">
        <v>45901</v>
      </c>
      <c r="B190" t="s">
        <v>31</v>
      </c>
      <c r="C190">
        <v>3750.419921875</v>
      </c>
      <c r="D190">
        <v>3255.8</v>
      </c>
      <c r="E190">
        <v>3258.5458374048999</v>
      </c>
      <c r="F190">
        <v>3461.64</v>
      </c>
      <c r="G190">
        <v>2883.37</v>
      </c>
      <c r="H190">
        <v>2510.94</v>
      </c>
      <c r="I190">
        <v>3258.5458374048999</v>
      </c>
      <c r="J190">
        <v>2200.8554660011</v>
      </c>
      <c r="K190">
        <v>4252.3914863694999</v>
      </c>
      <c r="L190">
        <v>3216.6133043576001</v>
      </c>
      <c r="M190">
        <v>41.932533047299998</v>
      </c>
      <c r="N190">
        <v>19.98</v>
      </c>
      <c r="O190">
        <v>3001.0860214843751</v>
      </c>
      <c r="P190">
        <v>4499.7538222656249</v>
      </c>
      <c r="Q190">
        <f t="shared" si="8"/>
        <v>1239.4799218749999</v>
      </c>
      <c r="R190">
        <f t="shared" si="9"/>
        <v>0.33049097106313613</v>
      </c>
      <c r="S190">
        <f t="shared" si="10"/>
        <v>491.87408447010012</v>
      </c>
      <c r="T190">
        <f t="shared" si="11"/>
        <v>0.13115173626322638</v>
      </c>
    </row>
    <row r="191" spans="1:20" x14ac:dyDescent="0.3">
      <c r="A191" s="2">
        <v>45931</v>
      </c>
      <c r="B191" t="s">
        <v>31</v>
      </c>
      <c r="C191">
        <v>4136.24609375</v>
      </c>
      <c r="E191">
        <v>3545.5673408926</v>
      </c>
      <c r="F191">
        <v>3869.8049999999998</v>
      </c>
      <c r="G191">
        <v>4630</v>
      </c>
      <c r="H191">
        <v>4151.5200000000004</v>
      </c>
      <c r="I191">
        <v>3545.5673408926</v>
      </c>
      <c r="J191">
        <v>2441.5461284765001</v>
      </c>
      <c r="K191">
        <v>4591.4902554116998</v>
      </c>
      <c r="L191">
        <v>3201.3538054105002</v>
      </c>
      <c r="M191">
        <v>344.213535482</v>
      </c>
      <c r="N191">
        <v>19.98</v>
      </c>
      <c r="O191">
        <v>3309.8241242187501</v>
      </c>
      <c r="P191">
        <v>4962.6680632812486</v>
      </c>
      <c r="Q191">
        <f t="shared" si="8"/>
        <v>-15.273906250000437</v>
      </c>
      <c r="R191">
        <f t="shared" si="9"/>
        <v>-3.6926976547840798E-3</v>
      </c>
      <c r="S191">
        <f t="shared" si="10"/>
        <v>590.67875285740001</v>
      </c>
      <c r="T191">
        <f t="shared" si="11"/>
        <v>0.14280551482416254</v>
      </c>
    </row>
    <row r="192" spans="1:20" x14ac:dyDescent="0.3">
      <c r="A192" s="2">
        <v>45962</v>
      </c>
      <c r="B192" t="s">
        <v>31</v>
      </c>
      <c r="C192">
        <v>4593.181640625</v>
      </c>
      <c r="E192">
        <v>3134.974167374</v>
      </c>
      <c r="F192">
        <v>3642.1325000000002</v>
      </c>
      <c r="G192">
        <v>3942.27</v>
      </c>
      <c r="H192">
        <v>3531.14</v>
      </c>
      <c r="I192">
        <v>3134.974167374</v>
      </c>
      <c r="J192">
        <v>2059.3144900213001</v>
      </c>
      <c r="K192">
        <v>4236.0834341282998</v>
      </c>
      <c r="L192">
        <v>3185.5856564986002</v>
      </c>
      <c r="M192">
        <v>-50.611489124599998</v>
      </c>
      <c r="N192">
        <v>19.98</v>
      </c>
      <c r="O192">
        <v>3675.463948828125</v>
      </c>
      <c r="P192">
        <v>5510.8993324218754</v>
      </c>
      <c r="Q192">
        <f t="shared" si="8"/>
        <v>1062.0416406250001</v>
      </c>
      <c r="R192">
        <f t="shared" si="9"/>
        <v>0.23122134583828188</v>
      </c>
      <c r="S192">
        <f t="shared" si="10"/>
        <v>1458.207473251</v>
      </c>
      <c r="T192">
        <f t="shared" si="11"/>
        <v>0.31747219843293195</v>
      </c>
    </row>
    <row r="193" spans="1:20" x14ac:dyDescent="0.3">
      <c r="A193" s="2">
        <v>45992</v>
      </c>
      <c r="B193" t="s">
        <v>31</v>
      </c>
      <c r="C193">
        <v>3993.8913574219</v>
      </c>
      <c r="E193">
        <v>3526.9331526589999</v>
      </c>
      <c r="F193">
        <v>4225.4025000000001</v>
      </c>
      <c r="G193">
        <v>2953.54</v>
      </c>
      <c r="H193">
        <v>2704.89</v>
      </c>
      <c r="I193">
        <v>3526.9331526589999</v>
      </c>
      <c r="J193">
        <v>2471.8066943022</v>
      </c>
      <c r="K193">
        <v>4649.0427305696003</v>
      </c>
      <c r="L193">
        <v>3170.3261575514998</v>
      </c>
      <c r="M193">
        <v>356.60699510749998</v>
      </c>
      <c r="N193">
        <v>19.98</v>
      </c>
      <c r="O193">
        <v>3195.9118642090039</v>
      </c>
      <c r="P193">
        <v>4791.8708506347957</v>
      </c>
      <c r="Q193">
        <f t="shared" si="8"/>
        <v>1289.0013574219001</v>
      </c>
      <c r="R193">
        <f t="shared" si="9"/>
        <v>0.32274322009949824</v>
      </c>
      <c r="S193">
        <f t="shared" si="10"/>
        <v>466.9582047629001</v>
      </c>
      <c r="T193">
        <f t="shared" si="11"/>
        <v>0.11691810391766055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Moreira Nascimento</cp:lastModifiedBy>
  <dcterms:created xsi:type="dcterms:W3CDTF">2025-11-10T18:22:37Z</dcterms:created>
  <dcterms:modified xsi:type="dcterms:W3CDTF">2025-11-11T08:51:41Z</dcterms:modified>
</cp:coreProperties>
</file>
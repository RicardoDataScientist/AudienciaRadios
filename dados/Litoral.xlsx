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957DE12F-D578-4F40-919D-798F4E0C76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2" i="1"/>
</calcChain>
</file>

<file path=xl/sharedStrings.xml><?xml version="1.0" encoding="utf-8"?>
<sst xmlns="http://schemas.openxmlformats.org/spreadsheetml/2006/main" count="212" uniqueCount="36">
  <si>
    <t>data</t>
  </si>
  <si>
    <t>metrica</t>
  </si>
  <si>
    <t>previsto</t>
  </si>
  <si>
    <t>original</t>
  </si>
  <si>
    <t>baseline_prophet</t>
  </si>
  <si>
    <t>baseline_avg_hist</t>
  </si>
  <si>
    <t>baseline_avg_recent_24m</t>
  </si>
  <si>
    <t>yhat</t>
  </si>
  <si>
    <t>yhat_lower</t>
  </si>
  <si>
    <t>yhat_upper</t>
  </si>
  <si>
    <t>trend</t>
  </si>
  <si>
    <t>yearly</t>
  </si>
  <si>
    <t>mape_usado_%</t>
  </si>
  <si>
    <t>lower</t>
  </si>
  <si>
    <t>upper</t>
  </si>
  <si>
    <t>CLASSE AB</t>
  </si>
  <si>
    <t>CLASSE C</t>
  </si>
  <si>
    <t>CLASSE DE</t>
  </si>
  <si>
    <t>IDADE 10/19</t>
  </si>
  <si>
    <t>IDADE 20/29</t>
  </si>
  <si>
    <t>IDADE 30/39</t>
  </si>
  <si>
    <t>IDADE 40/49</t>
  </si>
  <si>
    <t>IDADE 50+</t>
  </si>
  <si>
    <t>LITORAL FM</t>
  </si>
  <si>
    <t>SEXO FEMININO</t>
  </si>
  <si>
    <t>SEXO MASCULINO</t>
  </si>
  <si>
    <t>ZONA CARIACICA + VIANA</t>
  </si>
  <si>
    <t>ZONA GUARAPARI</t>
  </si>
  <si>
    <t>ZONA SERRA</t>
  </si>
  <si>
    <t>ZONA VILA VELHA</t>
  </si>
  <si>
    <t>ZONA VITORIA</t>
  </si>
  <si>
    <t>baseline_ano_anterior</t>
  </si>
  <si>
    <t>var ant</t>
  </si>
  <si>
    <t>var ant %</t>
  </si>
  <si>
    <t>var tend</t>
  </si>
  <si>
    <t>var tend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</si>
</sst>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3"/>
  <sheetViews>
    <sheetView tabSelected="1" workbookViewId="0">
      <selection activeCell="V176" sqref="V176"/>
    </sheetView>
  </sheetViews>
  <sheetFormatPr defaultRowHeight="14.4" x14ac:dyDescent="0.3"/>
  <cols>
    <col min="1" max="1" width="28.21875" customWidth="1"/>
    <col min="2" max="2" width="28.88671875" customWidth="1"/>
    <col min="5" max="5" width="20" bestFit="1" customWidth="1"/>
    <col min="6" max="6" width="17.554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32</v>
      </c>
      <c r="R1" s="3" t="s">
        <v>33</v>
      </c>
      <c r="S1" s="3" t="s">
        <v>34</v>
      </c>
      <c r="T1" s="3" t="s">
        <v>35</v>
      </c>
    </row>
    <row r="2" spans="1:20" x14ac:dyDescent="0.3">
      <c r="A2" s="2">
        <v>45658</v>
      </c>
      <c r="B2" t="s">
        <v>15</v>
      </c>
      <c r="C2">
        <v>7930</v>
      </c>
      <c r="D2">
        <v>8074.71</v>
      </c>
      <c r="E2">
        <v>9377.64</v>
      </c>
      <c r="F2">
        <v>8632.6811185733004</v>
      </c>
      <c r="G2">
        <v>8611.2360000000008</v>
      </c>
      <c r="H2">
        <v>8726.1749999999993</v>
      </c>
      <c r="I2">
        <v>8632.6811185733004</v>
      </c>
      <c r="J2">
        <v>7775.3940466394997</v>
      </c>
      <c r="K2">
        <v>9500.4623833060996</v>
      </c>
      <c r="L2">
        <v>7957.7720070953001</v>
      </c>
      <c r="M2">
        <v>674.909111478</v>
      </c>
      <c r="N2">
        <v>4.2</v>
      </c>
      <c r="O2">
        <v>7596.94</v>
      </c>
      <c r="P2">
        <v>8263.06</v>
      </c>
      <c r="Q2">
        <f>C2-E2</f>
        <v>-1447.6399999999994</v>
      </c>
      <c r="R2">
        <f>(C2-E2)/C2</f>
        <v>-0.18255233291298859</v>
      </c>
      <c r="S2">
        <f>C2-F2</f>
        <v>-702.68111857330041</v>
      </c>
      <c r="T2">
        <f>(C2-F2)/C2</f>
        <v>-8.8610481535094626E-2</v>
      </c>
    </row>
    <row r="3" spans="1:20" x14ac:dyDescent="0.3">
      <c r="A3" s="2">
        <v>45689</v>
      </c>
      <c r="B3" t="s">
        <v>15</v>
      </c>
      <c r="C3">
        <v>7402</v>
      </c>
      <c r="D3">
        <v>7355.54</v>
      </c>
      <c r="E3">
        <v>6820.72</v>
      </c>
      <c r="F3">
        <v>7479.9992368380999</v>
      </c>
      <c r="G3">
        <v>6868.85</v>
      </c>
      <c r="H3">
        <v>7088.13</v>
      </c>
      <c r="I3">
        <v>7479.9992368380999</v>
      </c>
      <c r="J3">
        <v>6589.2885982989001</v>
      </c>
      <c r="K3">
        <v>8294.3599832961008</v>
      </c>
      <c r="L3">
        <v>7972.5214882779001</v>
      </c>
      <c r="M3">
        <v>-492.52225143980002</v>
      </c>
      <c r="N3">
        <v>4.2</v>
      </c>
      <c r="O3">
        <v>7091.116</v>
      </c>
      <c r="P3">
        <v>7712.884</v>
      </c>
      <c r="Q3">
        <f t="shared" ref="Q3:Q66" si="0">C3-E3</f>
        <v>581.27999999999975</v>
      </c>
      <c r="R3">
        <f t="shared" ref="R3:R66" si="1">(C3-E3)/C3</f>
        <v>7.8530126992704646E-2</v>
      </c>
      <c r="S3">
        <f t="shared" ref="S3:S66" si="2">C3-F3</f>
        <v>-77.999236838099932</v>
      </c>
      <c r="T3">
        <f t="shared" ref="T3:T66" si="3">(C3-F3)/C3</f>
        <v>-1.0537589413415285E-2</v>
      </c>
    </row>
    <row r="4" spans="1:20" x14ac:dyDescent="0.3">
      <c r="A4" s="2">
        <v>45717</v>
      </c>
      <c r="B4" t="s">
        <v>15</v>
      </c>
      <c r="C4">
        <v>9909</v>
      </c>
      <c r="D4">
        <v>10075.84</v>
      </c>
      <c r="E4">
        <v>8019.4</v>
      </c>
      <c r="F4">
        <v>8888.8950008639003</v>
      </c>
      <c r="G4">
        <v>8548.7900000000009</v>
      </c>
      <c r="H4">
        <v>9047.6200000000008</v>
      </c>
      <c r="I4">
        <v>8888.8950008639003</v>
      </c>
      <c r="J4">
        <v>8042.2882799515</v>
      </c>
      <c r="K4">
        <v>9762.0043580722995</v>
      </c>
      <c r="L4">
        <v>7985.8436003137003</v>
      </c>
      <c r="M4">
        <v>903.05140055020001</v>
      </c>
      <c r="N4">
        <v>4.2</v>
      </c>
      <c r="O4">
        <v>9492.8220000000001</v>
      </c>
      <c r="P4">
        <v>10325.178</v>
      </c>
      <c r="Q4">
        <f t="shared" si="0"/>
        <v>1889.6000000000004</v>
      </c>
      <c r="R4">
        <f t="shared" si="1"/>
        <v>0.19069532748006865</v>
      </c>
      <c r="S4">
        <f t="shared" si="2"/>
        <v>1020.1049991360997</v>
      </c>
      <c r="T4">
        <f t="shared" si="3"/>
        <v>0.10294732053043694</v>
      </c>
    </row>
    <row r="5" spans="1:20" x14ac:dyDescent="0.3">
      <c r="A5" s="2">
        <v>45748</v>
      </c>
      <c r="B5" t="s">
        <v>15</v>
      </c>
      <c r="C5">
        <v>8301</v>
      </c>
      <c r="D5">
        <v>8597.98</v>
      </c>
      <c r="E5">
        <v>8319.52</v>
      </c>
      <c r="F5">
        <v>8854.9317453230997</v>
      </c>
      <c r="G5">
        <v>8564.7960000000003</v>
      </c>
      <c r="H5">
        <v>8458.75</v>
      </c>
      <c r="I5">
        <v>8854.9317453230997</v>
      </c>
      <c r="J5">
        <v>8032.3372154492999</v>
      </c>
      <c r="K5">
        <v>9640.8036424843995</v>
      </c>
      <c r="L5">
        <v>8000.5930814962003</v>
      </c>
      <c r="M5">
        <v>854.33866382689996</v>
      </c>
      <c r="N5">
        <v>4.2</v>
      </c>
      <c r="O5">
        <v>7952.3579999999993</v>
      </c>
      <c r="P5">
        <v>8649.6419999999998</v>
      </c>
      <c r="Q5">
        <f t="shared" si="0"/>
        <v>-18.520000000000437</v>
      </c>
      <c r="R5">
        <f t="shared" si="1"/>
        <v>-2.2310564992170144E-3</v>
      </c>
      <c r="S5">
        <f t="shared" si="2"/>
        <v>-553.93174532309968</v>
      </c>
      <c r="T5">
        <f t="shared" si="3"/>
        <v>-6.6730724650415574E-2</v>
      </c>
    </row>
    <row r="6" spans="1:20" x14ac:dyDescent="0.3">
      <c r="A6" s="2">
        <v>45778</v>
      </c>
      <c r="B6" t="s">
        <v>15</v>
      </c>
      <c r="C6">
        <v>8162</v>
      </c>
      <c r="D6">
        <v>8327.9</v>
      </c>
      <c r="E6">
        <v>10145.94</v>
      </c>
      <c r="F6">
        <v>9218.5246590957995</v>
      </c>
      <c r="G6">
        <v>8717.2720000000008</v>
      </c>
      <c r="H6">
        <v>9236.92</v>
      </c>
      <c r="I6">
        <v>9218.5246590957995</v>
      </c>
      <c r="J6">
        <v>8339.4017746596001</v>
      </c>
      <c r="K6">
        <v>10109.3064137442</v>
      </c>
      <c r="L6">
        <v>8014.8667729630997</v>
      </c>
      <c r="M6">
        <v>1203.6578861326</v>
      </c>
      <c r="N6">
        <v>4.2</v>
      </c>
      <c r="O6">
        <v>7819.1959999999999</v>
      </c>
      <c r="P6">
        <v>8504.8040000000001</v>
      </c>
      <c r="Q6">
        <f t="shared" si="0"/>
        <v>-1983.9400000000005</v>
      </c>
      <c r="R6">
        <f t="shared" si="1"/>
        <v>-0.24307032590051464</v>
      </c>
      <c r="S6">
        <f t="shared" si="2"/>
        <v>-1056.5246590957995</v>
      </c>
      <c r="T6">
        <f t="shared" si="3"/>
        <v>-0.12944433461110016</v>
      </c>
    </row>
    <row r="7" spans="1:20" x14ac:dyDescent="0.3">
      <c r="A7" s="2">
        <v>45809</v>
      </c>
      <c r="B7" t="s">
        <v>15</v>
      </c>
      <c r="C7">
        <v>5999</v>
      </c>
      <c r="D7">
        <v>5772.91</v>
      </c>
      <c r="E7">
        <v>8351.4599999999991</v>
      </c>
      <c r="F7">
        <v>7147.2037277331001</v>
      </c>
      <c r="G7">
        <v>6925.5</v>
      </c>
      <c r="H7">
        <v>7062.1850000000004</v>
      </c>
      <c r="I7">
        <v>7147.2037277331001</v>
      </c>
      <c r="J7">
        <v>6279.488872721</v>
      </c>
      <c r="K7">
        <v>7942.5227373241996</v>
      </c>
      <c r="L7">
        <v>8029.6162541455997</v>
      </c>
      <c r="M7">
        <v>-882.41252641259996</v>
      </c>
      <c r="N7">
        <v>4.2</v>
      </c>
      <c r="O7">
        <v>5747.0419999999986</v>
      </c>
      <c r="P7">
        <v>6250.9580000000014</v>
      </c>
      <c r="Q7">
        <f t="shared" si="0"/>
        <v>-2352.4599999999991</v>
      </c>
      <c r="R7">
        <f t="shared" si="1"/>
        <v>-0.39214202367061163</v>
      </c>
      <c r="S7">
        <f t="shared" si="2"/>
        <v>-1148.2037277331001</v>
      </c>
      <c r="T7">
        <f t="shared" si="3"/>
        <v>-0.19139918782015339</v>
      </c>
    </row>
    <row r="8" spans="1:20" x14ac:dyDescent="0.3">
      <c r="A8" s="2">
        <v>45839</v>
      </c>
      <c r="B8" t="s">
        <v>15</v>
      </c>
      <c r="C8">
        <v>7316</v>
      </c>
      <c r="D8">
        <v>7564.13</v>
      </c>
      <c r="E8">
        <v>7837.97</v>
      </c>
      <c r="F8">
        <v>7779.0855143981998</v>
      </c>
      <c r="G8">
        <v>7528.5360000000001</v>
      </c>
      <c r="H8">
        <v>7701.05</v>
      </c>
      <c r="I8">
        <v>7779.0855143981998</v>
      </c>
      <c r="J8">
        <v>6920.9201706995</v>
      </c>
      <c r="K8">
        <v>8606.8542399939997</v>
      </c>
      <c r="L8">
        <v>8043.8899456126001</v>
      </c>
      <c r="M8">
        <v>-264.8044312143</v>
      </c>
      <c r="N8">
        <v>4.2</v>
      </c>
      <c r="O8">
        <v>7008.7280000000001</v>
      </c>
      <c r="P8">
        <v>7623.2719999999999</v>
      </c>
      <c r="Q8">
        <f t="shared" si="0"/>
        <v>-521.97000000000025</v>
      </c>
      <c r="R8">
        <f t="shared" si="1"/>
        <v>-7.1346364133406268E-2</v>
      </c>
      <c r="S8">
        <f t="shared" si="2"/>
        <v>-463.08551439819985</v>
      </c>
      <c r="T8">
        <f t="shared" si="3"/>
        <v>-6.3297637287889535E-2</v>
      </c>
    </row>
    <row r="9" spans="1:20" x14ac:dyDescent="0.3">
      <c r="A9" s="2">
        <v>45870</v>
      </c>
      <c r="B9" t="s">
        <v>15</v>
      </c>
      <c r="C9">
        <v>7222</v>
      </c>
      <c r="D9">
        <v>8643.2900000000009</v>
      </c>
      <c r="E9">
        <v>7710.51</v>
      </c>
      <c r="F9">
        <v>8099.1782717609003</v>
      </c>
      <c r="G9">
        <v>7570.51</v>
      </c>
      <c r="H9">
        <v>8176.9</v>
      </c>
      <c r="I9">
        <v>8099.1782717609003</v>
      </c>
      <c r="J9">
        <v>7227.8552352678998</v>
      </c>
      <c r="K9">
        <v>9019.8604310694009</v>
      </c>
      <c r="L9">
        <v>8058.6394267951</v>
      </c>
      <c r="M9">
        <v>40.538844965800003</v>
      </c>
      <c r="N9">
        <v>4.2</v>
      </c>
      <c r="O9">
        <v>6918.6759999999986</v>
      </c>
      <c r="P9">
        <v>7525.3240000000014</v>
      </c>
      <c r="Q9">
        <f t="shared" si="0"/>
        <v>-488.51000000000022</v>
      </c>
      <c r="R9">
        <f t="shared" si="1"/>
        <v>-6.7641927443921376E-2</v>
      </c>
      <c r="S9">
        <f t="shared" si="2"/>
        <v>-877.17827176090032</v>
      </c>
      <c r="T9">
        <f t="shared" si="3"/>
        <v>-0.12145919021890063</v>
      </c>
    </row>
    <row r="10" spans="1:20" x14ac:dyDescent="0.3">
      <c r="A10" s="2">
        <v>45901</v>
      </c>
      <c r="B10" t="s">
        <v>15</v>
      </c>
      <c r="C10">
        <v>7167</v>
      </c>
      <c r="D10">
        <v>7949.07</v>
      </c>
      <c r="E10">
        <v>7511.01</v>
      </c>
      <c r="F10">
        <v>7721.2184779230001</v>
      </c>
      <c r="G10">
        <v>7421.2860000000001</v>
      </c>
      <c r="H10">
        <v>7730.04</v>
      </c>
      <c r="I10">
        <v>7721.2184779230001</v>
      </c>
      <c r="J10">
        <v>6879.2414931837002</v>
      </c>
      <c r="K10">
        <v>8528.3649032132998</v>
      </c>
      <c r="L10">
        <v>8073.3889079776</v>
      </c>
      <c r="M10">
        <v>-352.17043005459999</v>
      </c>
      <c r="N10">
        <v>4.2</v>
      </c>
      <c r="O10">
        <v>6865.9859999999999</v>
      </c>
      <c r="P10">
        <v>7468.0140000000001</v>
      </c>
      <c r="Q10">
        <f t="shared" si="0"/>
        <v>-344.01000000000022</v>
      </c>
      <c r="R10">
        <f t="shared" si="1"/>
        <v>-4.7999162829635858E-2</v>
      </c>
      <c r="S10">
        <f t="shared" si="2"/>
        <v>-554.21847792300014</v>
      </c>
      <c r="T10">
        <f t="shared" si="3"/>
        <v>-7.7329214165341165E-2</v>
      </c>
    </row>
    <row r="11" spans="1:20" x14ac:dyDescent="0.3">
      <c r="A11" s="2">
        <v>45931</v>
      </c>
      <c r="B11" t="s">
        <v>15</v>
      </c>
      <c r="C11">
        <v>8213</v>
      </c>
      <c r="E11">
        <v>8136.87</v>
      </c>
      <c r="F11">
        <v>7984.9166958148999</v>
      </c>
      <c r="G11">
        <v>7630.85</v>
      </c>
      <c r="H11">
        <v>8402.11</v>
      </c>
      <c r="I11">
        <v>7984.9166958148999</v>
      </c>
      <c r="J11">
        <v>7166.5991367879997</v>
      </c>
      <c r="K11">
        <v>8861.3813700177998</v>
      </c>
      <c r="L11">
        <v>8087.6625994445003</v>
      </c>
      <c r="M11">
        <v>-102.74590362959999</v>
      </c>
      <c r="N11">
        <v>4.2</v>
      </c>
      <c r="O11">
        <v>7868.0540000000001</v>
      </c>
      <c r="P11">
        <v>8557.9459999999999</v>
      </c>
      <c r="Q11">
        <f t="shared" si="0"/>
        <v>76.130000000000109</v>
      </c>
      <c r="R11">
        <f t="shared" si="1"/>
        <v>9.2694508705710599E-3</v>
      </c>
      <c r="S11">
        <f t="shared" si="2"/>
        <v>228.08330418510013</v>
      </c>
      <c r="T11">
        <f t="shared" si="3"/>
        <v>2.7771009884950706E-2</v>
      </c>
    </row>
    <row r="12" spans="1:20" x14ac:dyDescent="0.3">
      <c r="A12" s="2">
        <v>45962</v>
      </c>
      <c r="B12" t="s">
        <v>15</v>
      </c>
      <c r="C12">
        <v>7045</v>
      </c>
      <c r="E12">
        <v>7114.51</v>
      </c>
      <c r="F12">
        <v>7446.8508738139999</v>
      </c>
      <c r="G12">
        <v>6852.9224999999997</v>
      </c>
      <c r="H12">
        <v>6961.5550000000003</v>
      </c>
      <c r="I12">
        <v>7446.8508738139999</v>
      </c>
      <c r="J12">
        <v>6607.0603197966002</v>
      </c>
      <c r="K12">
        <v>8242.2651588460994</v>
      </c>
      <c r="L12">
        <v>8102.4120806271003</v>
      </c>
      <c r="M12">
        <v>-655.56120681300001</v>
      </c>
      <c r="N12">
        <v>4.2</v>
      </c>
      <c r="O12">
        <v>6749.11</v>
      </c>
      <c r="P12">
        <v>7340.89</v>
      </c>
      <c r="Q12">
        <f t="shared" si="0"/>
        <v>-69.510000000000218</v>
      </c>
      <c r="R12">
        <f t="shared" si="1"/>
        <v>-9.8665720369056371E-3</v>
      </c>
      <c r="S12">
        <f t="shared" si="2"/>
        <v>-401.8508738139999</v>
      </c>
      <c r="T12">
        <f t="shared" si="3"/>
        <v>-5.704057825606812E-2</v>
      </c>
    </row>
    <row r="13" spans="1:20" x14ac:dyDescent="0.3">
      <c r="A13" s="2">
        <v>45992</v>
      </c>
      <c r="B13" t="s">
        <v>15</v>
      </c>
      <c r="C13">
        <v>8467</v>
      </c>
      <c r="E13">
        <v>7496.28</v>
      </c>
      <c r="F13">
        <v>7768.3722053164001</v>
      </c>
      <c r="G13">
        <v>7392.9925000000003</v>
      </c>
      <c r="H13">
        <v>7884.86</v>
      </c>
      <c r="I13">
        <v>7768.3722053164001</v>
      </c>
      <c r="J13">
        <v>6908.3519801060002</v>
      </c>
      <c r="K13">
        <v>8636.7507301378992</v>
      </c>
      <c r="L13">
        <v>8116.6857720939997</v>
      </c>
      <c r="M13">
        <v>-348.31356677759999</v>
      </c>
      <c r="N13">
        <v>4.2</v>
      </c>
      <c r="O13">
        <v>8111.3860000000004</v>
      </c>
      <c r="P13">
        <v>8822.6139999999996</v>
      </c>
      <c r="Q13">
        <f t="shared" si="0"/>
        <v>970.72000000000025</v>
      </c>
      <c r="R13">
        <f t="shared" si="1"/>
        <v>0.11464745482461323</v>
      </c>
      <c r="S13">
        <f t="shared" si="2"/>
        <v>698.62779468359986</v>
      </c>
      <c r="T13">
        <f t="shared" si="3"/>
        <v>8.251184536241879E-2</v>
      </c>
    </row>
    <row r="14" spans="1:20" x14ac:dyDescent="0.3">
      <c r="A14" s="2">
        <v>45658</v>
      </c>
      <c r="B14" t="s">
        <v>16</v>
      </c>
      <c r="C14">
        <v>8458</v>
      </c>
      <c r="D14">
        <v>8790.58</v>
      </c>
      <c r="E14">
        <v>9961.4</v>
      </c>
      <c r="F14">
        <v>9203.1612675777997</v>
      </c>
      <c r="G14">
        <v>10343.198</v>
      </c>
      <c r="H14">
        <v>9375.99</v>
      </c>
      <c r="I14">
        <v>9203.1612675777997</v>
      </c>
      <c r="J14">
        <v>7571.8162876687002</v>
      </c>
      <c r="K14">
        <v>10771.7831900693</v>
      </c>
      <c r="L14">
        <v>8039.0259345786999</v>
      </c>
      <c r="M14">
        <v>1164.1353329991</v>
      </c>
      <c r="N14">
        <v>9.48</v>
      </c>
      <c r="O14">
        <v>7656.1815999999999</v>
      </c>
      <c r="P14">
        <v>9259.8184000000001</v>
      </c>
      <c r="Q14">
        <f t="shared" si="0"/>
        <v>-1503.3999999999996</v>
      </c>
      <c r="R14">
        <f t="shared" si="1"/>
        <v>-0.17774887680302667</v>
      </c>
      <c r="S14">
        <f t="shared" si="2"/>
        <v>-745.16126757779966</v>
      </c>
      <c r="T14">
        <f t="shared" si="3"/>
        <v>-8.8101355826176356E-2</v>
      </c>
    </row>
    <row r="15" spans="1:20" x14ac:dyDescent="0.3">
      <c r="A15" s="2">
        <v>45689</v>
      </c>
      <c r="B15" t="s">
        <v>16</v>
      </c>
      <c r="C15">
        <v>7120</v>
      </c>
      <c r="D15">
        <v>7020.48</v>
      </c>
      <c r="E15">
        <v>12230.39</v>
      </c>
      <c r="F15">
        <v>8094.1626252245997</v>
      </c>
      <c r="G15">
        <v>10214.451999999999</v>
      </c>
      <c r="H15">
        <v>9625.4349999999995</v>
      </c>
      <c r="I15">
        <v>8094.1626252245997</v>
      </c>
      <c r="J15">
        <v>6510.8114780654996</v>
      </c>
      <c r="K15">
        <v>9837.0817874560998</v>
      </c>
      <c r="L15">
        <v>7966.2198029329002</v>
      </c>
      <c r="M15">
        <v>127.9428222917</v>
      </c>
      <c r="N15">
        <v>9.48</v>
      </c>
      <c r="O15">
        <v>6445.0240000000003</v>
      </c>
      <c r="P15">
        <v>7794.9759999999997</v>
      </c>
      <c r="Q15">
        <f t="shared" si="0"/>
        <v>-5110.3899999999994</v>
      </c>
      <c r="R15">
        <f t="shared" si="1"/>
        <v>-0.71775140449438191</v>
      </c>
      <c r="S15">
        <f t="shared" si="2"/>
        <v>-974.16262522459965</v>
      </c>
      <c r="T15">
        <f t="shared" si="3"/>
        <v>-0.1368205934304213</v>
      </c>
    </row>
    <row r="16" spans="1:20" x14ac:dyDescent="0.3">
      <c r="A16" s="2">
        <v>45717</v>
      </c>
      <c r="B16" t="s">
        <v>16</v>
      </c>
      <c r="C16">
        <v>9880</v>
      </c>
      <c r="D16">
        <v>9398.7099999999991</v>
      </c>
      <c r="E16">
        <v>6704.14</v>
      </c>
      <c r="F16">
        <v>7563.8305993897002</v>
      </c>
      <c r="G16">
        <v>9332.5139999999992</v>
      </c>
      <c r="H16">
        <v>8051.4250000000002</v>
      </c>
      <c r="I16">
        <v>7563.8305993897002</v>
      </c>
      <c r="J16">
        <v>5789.5753230344999</v>
      </c>
      <c r="K16">
        <v>9197.6674312123996</v>
      </c>
      <c r="L16">
        <v>7900.4594259625001</v>
      </c>
      <c r="M16">
        <v>-336.62882657279999</v>
      </c>
      <c r="N16">
        <v>9.48</v>
      </c>
      <c r="O16">
        <v>8943.3760000000002</v>
      </c>
      <c r="P16">
        <v>10816.624</v>
      </c>
      <c r="Q16">
        <f t="shared" si="0"/>
        <v>3175.8599999999997</v>
      </c>
      <c r="R16">
        <f t="shared" si="1"/>
        <v>0.32144331983805663</v>
      </c>
      <c r="S16">
        <f t="shared" si="2"/>
        <v>2316.1694006102998</v>
      </c>
      <c r="T16">
        <f t="shared" si="3"/>
        <v>0.23443010127634614</v>
      </c>
    </row>
    <row r="17" spans="1:20" x14ac:dyDescent="0.3">
      <c r="A17" s="2">
        <v>45748</v>
      </c>
      <c r="B17" t="s">
        <v>16</v>
      </c>
      <c r="C17">
        <v>6229</v>
      </c>
      <c r="D17">
        <v>6277.16</v>
      </c>
      <c r="E17">
        <v>6433.65</v>
      </c>
      <c r="F17">
        <v>6492.2215531739002</v>
      </c>
      <c r="G17">
        <v>7949.1940000000004</v>
      </c>
      <c r="H17">
        <v>6355.4049999999997</v>
      </c>
      <c r="I17">
        <v>6492.2215531739002</v>
      </c>
      <c r="J17">
        <v>4953.4792353366001</v>
      </c>
      <c r="K17">
        <v>8122.9426617597001</v>
      </c>
      <c r="L17">
        <v>7827.6532943166003</v>
      </c>
      <c r="M17">
        <v>-1335.4317411428001</v>
      </c>
      <c r="N17">
        <v>9.48</v>
      </c>
      <c r="O17">
        <v>5638.4907999999996</v>
      </c>
      <c r="P17">
        <v>6819.5092000000004</v>
      </c>
      <c r="Q17">
        <f t="shared" si="0"/>
        <v>-204.64999999999964</v>
      </c>
      <c r="R17">
        <f t="shared" si="1"/>
        <v>-3.2854390752929785E-2</v>
      </c>
      <c r="S17">
        <f t="shared" si="2"/>
        <v>-263.22155317390025</v>
      </c>
      <c r="T17">
        <f t="shared" si="3"/>
        <v>-4.2257433484331391E-2</v>
      </c>
    </row>
    <row r="18" spans="1:20" x14ac:dyDescent="0.3">
      <c r="A18" s="2">
        <v>45778</v>
      </c>
      <c r="B18" t="s">
        <v>16</v>
      </c>
      <c r="C18">
        <v>7921</v>
      </c>
      <c r="D18">
        <v>8202.68</v>
      </c>
      <c r="E18">
        <v>8064.77</v>
      </c>
      <c r="F18">
        <v>7690.5682319816997</v>
      </c>
      <c r="G18">
        <v>9616.07</v>
      </c>
      <c r="H18">
        <v>8133.7250000000004</v>
      </c>
      <c r="I18">
        <v>7690.5682319816997</v>
      </c>
      <c r="J18">
        <v>5995.6433775191999</v>
      </c>
      <c r="K18">
        <v>9292.3940164262003</v>
      </c>
      <c r="L18">
        <v>7757.1957475626004</v>
      </c>
      <c r="M18">
        <v>-66.627515580899995</v>
      </c>
      <c r="N18">
        <v>9.48</v>
      </c>
      <c r="O18">
        <v>7170.0892000000003</v>
      </c>
      <c r="P18">
        <v>8671.9107999999997</v>
      </c>
      <c r="Q18">
        <f t="shared" si="0"/>
        <v>-143.77000000000044</v>
      </c>
      <c r="R18">
        <f t="shared" si="1"/>
        <v>-1.815048604974125E-2</v>
      </c>
      <c r="S18">
        <f t="shared" si="2"/>
        <v>230.43176801830032</v>
      </c>
      <c r="T18">
        <f t="shared" si="3"/>
        <v>2.9091247067074905E-2</v>
      </c>
    </row>
    <row r="19" spans="1:20" x14ac:dyDescent="0.3">
      <c r="A19" s="2">
        <v>45809</v>
      </c>
      <c r="B19" t="s">
        <v>16</v>
      </c>
      <c r="C19">
        <v>7776</v>
      </c>
      <c r="D19">
        <v>7485.79</v>
      </c>
      <c r="E19">
        <v>10071.81</v>
      </c>
      <c r="F19">
        <v>8363.5094115155007</v>
      </c>
      <c r="G19">
        <v>9918.08</v>
      </c>
      <c r="H19">
        <v>8778.7999999999993</v>
      </c>
      <c r="I19">
        <v>8363.5094115155007</v>
      </c>
      <c r="J19">
        <v>6681.8243227925004</v>
      </c>
      <c r="K19">
        <v>10108.9699756093</v>
      </c>
      <c r="L19">
        <v>7684.3896159167998</v>
      </c>
      <c r="M19">
        <v>679.11979559880001</v>
      </c>
      <c r="N19">
        <v>9.48</v>
      </c>
      <c r="O19">
        <v>7038.8352000000004</v>
      </c>
      <c r="P19">
        <v>8513.1648000000005</v>
      </c>
      <c r="Q19">
        <f t="shared" si="0"/>
        <v>-2295.8099999999995</v>
      </c>
      <c r="R19">
        <f t="shared" si="1"/>
        <v>-0.29524305555555547</v>
      </c>
      <c r="S19">
        <f t="shared" si="2"/>
        <v>-587.50941151550069</v>
      </c>
      <c r="T19">
        <f t="shared" si="3"/>
        <v>-7.555419386773414E-2</v>
      </c>
    </row>
    <row r="20" spans="1:20" x14ac:dyDescent="0.3">
      <c r="A20" s="2">
        <v>45839</v>
      </c>
      <c r="B20" t="s">
        <v>16</v>
      </c>
      <c r="C20">
        <v>8766</v>
      </c>
      <c r="D20">
        <v>8705.27</v>
      </c>
      <c r="E20">
        <v>7840.11</v>
      </c>
      <c r="F20">
        <v>8742.9830753965998</v>
      </c>
      <c r="G20">
        <v>10541.888000000001</v>
      </c>
      <c r="H20">
        <v>8272.69</v>
      </c>
      <c r="I20">
        <v>8742.9830753965998</v>
      </c>
      <c r="J20">
        <v>7068.9547057937998</v>
      </c>
      <c r="K20">
        <v>10287.1317018712</v>
      </c>
      <c r="L20">
        <v>7613.9320691626999</v>
      </c>
      <c r="M20">
        <v>1129.0510062338999</v>
      </c>
      <c r="N20">
        <v>9.48</v>
      </c>
      <c r="O20">
        <v>7934.9831999999997</v>
      </c>
      <c r="P20">
        <v>9597.0167999999994</v>
      </c>
      <c r="Q20">
        <f t="shared" si="0"/>
        <v>925.89000000000033</v>
      </c>
      <c r="R20">
        <f t="shared" si="1"/>
        <v>0.10562286105407259</v>
      </c>
      <c r="S20">
        <f t="shared" si="2"/>
        <v>23.016924603400184</v>
      </c>
      <c r="T20">
        <f t="shared" si="3"/>
        <v>2.6257043809491424E-3</v>
      </c>
    </row>
    <row r="21" spans="1:20" x14ac:dyDescent="0.3">
      <c r="A21" s="2">
        <v>45870</v>
      </c>
      <c r="B21" t="s">
        <v>16</v>
      </c>
      <c r="C21">
        <v>8552</v>
      </c>
      <c r="D21">
        <v>7434.23</v>
      </c>
      <c r="E21">
        <v>7721.32</v>
      </c>
      <c r="F21">
        <v>6537.1730755292001</v>
      </c>
      <c r="G21">
        <v>8424.1939999999995</v>
      </c>
      <c r="H21">
        <v>7577.7749999999996</v>
      </c>
      <c r="I21">
        <v>6537.1730755292001</v>
      </c>
      <c r="J21">
        <v>4981.9187697712996</v>
      </c>
      <c r="K21">
        <v>8276.9849895306997</v>
      </c>
      <c r="L21">
        <v>7541.1259375169002</v>
      </c>
      <c r="M21">
        <v>-1003.9528619877</v>
      </c>
      <c r="N21">
        <v>9.48</v>
      </c>
      <c r="O21">
        <v>7741.2704000000003</v>
      </c>
      <c r="P21">
        <v>9362.7296000000006</v>
      </c>
      <c r="Q21">
        <f t="shared" si="0"/>
        <v>830.68000000000029</v>
      </c>
      <c r="R21">
        <f t="shared" si="1"/>
        <v>9.7132834424696016E-2</v>
      </c>
      <c r="S21">
        <f t="shared" si="2"/>
        <v>2014.8269244707999</v>
      </c>
      <c r="T21">
        <f t="shared" si="3"/>
        <v>0.23559716142081383</v>
      </c>
    </row>
    <row r="22" spans="1:20" x14ac:dyDescent="0.3">
      <c r="A22" s="2">
        <v>45901</v>
      </c>
      <c r="B22" t="s">
        <v>16</v>
      </c>
      <c r="C22">
        <v>8275</v>
      </c>
      <c r="D22">
        <v>8104.04</v>
      </c>
      <c r="E22">
        <v>6717.52</v>
      </c>
      <c r="F22">
        <v>6649.8833524938</v>
      </c>
      <c r="G22">
        <v>8290.07</v>
      </c>
      <c r="H22">
        <v>7410.78</v>
      </c>
      <c r="I22">
        <v>6649.8833524938</v>
      </c>
      <c r="J22">
        <v>4921.3771764431003</v>
      </c>
      <c r="K22">
        <v>8315.0971607519004</v>
      </c>
      <c r="L22">
        <v>7468.3198058710996</v>
      </c>
      <c r="M22">
        <v>-818.43645337730004</v>
      </c>
      <c r="N22">
        <v>9.48</v>
      </c>
      <c r="O22">
        <v>7490.53</v>
      </c>
      <c r="P22">
        <v>9059.4699999999993</v>
      </c>
      <c r="Q22">
        <f t="shared" si="0"/>
        <v>1557.4799999999996</v>
      </c>
      <c r="R22">
        <f t="shared" si="1"/>
        <v>0.18821510574018122</v>
      </c>
      <c r="S22">
        <f t="shared" si="2"/>
        <v>1625.1166475062</v>
      </c>
      <c r="T22">
        <f t="shared" si="3"/>
        <v>0.19638871873186708</v>
      </c>
    </row>
    <row r="23" spans="1:20" x14ac:dyDescent="0.3">
      <c r="A23" s="2">
        <v>45931</v>
      </c>
      <c r="B23" t="s">
        <v>16</v>
      </c>
      <c r="C23">
        <v>7645</v>
      </c>
      <c r="E23">
        <v>10161.02</v>
      </c>
      <c r="F23">
        <v>8115.1292648900999</v>
      </c>
      <c r="G23">
        <v>9952.3050000000003</v>
      </c>
      <c r="H23">
        <v>9216.09</v>
      </c>
      <c r="I23">
        <v>8115.1292648900999</v>
      </c>
      <c r="J23">
        <v>6493.6825677789002</v>
      </c>
      <c r="K23">
        <v>9894.0334989350995</v>
      </c>
      <c r="L23">
        <v>7397.8622591170997</v>
      </c>
      <c r="M23">
        <v>717.26700577300005</v>
      </c>
      <c r="N23">
        <v>9.48</v>
      </c>
      <c r="O23">
        <v>6920.2539999999999</v>
      </c>
      <c r="P23">
        <v>8369.7459999999992</v>
      </c>
      <c r="Q23">
        <f t="shared" si="0"/>
        <v>-2516.0200000000004</v>
      </c>
      <c r="R23">
        <f t="shared" si="1"/>
        <v>-0.32910660562459132</v>
      </c>
      <c r="S23">
        <f t="shared" si="2"/>
        <v>-470.12926489009988</v>
      </c>
      <c r="T23">
        <f t="shared" si="3"/>
        <v>-6.1494998677580098E-2</v>
      </c>
    </row>
    <row r="24" spans="1:20" x14ac:dyDescent="0.3">
      <c r="A24" s="2">
        <v>45962</v>
      </c>
      <c r="B24" t="s">
        <v>16</v>
      </c>
      <c r="C24">
        <v>8062</v>
      </c>
      <c r="E24">
        <v>8811.35</v>
      </c>
      <c r="F24">
        <v>7212.6778384899999</v>
      </c>
      <c r="G24">
        <v>9570.75</v>
      </c>
      <c r="H24">
        <v>9796.0349999999999</v>
      </c>
      <c r="I24">
        <v>7212.6778384899999</v>
      </c>
      <c r="J24">
        <v>5588.4006459900002</v>
      </c>
      <c r="K24">
        <v>8919.6441013633994</v>
      </c>
      <c r="L24">
        <v>7325.0561274711999</v>
      </c>
      <c r="M24">
        <v>-112.3782889812</v>
      </c>
      <c r="N24">
        <v>9.48</v>
      </c>
      <c r="O24">
        <v>7297.7223999999997</v>
      </c>
      <c r="P24">
        <v>8826.2775999999994</v>
      </c>
      <c r="Q24">
        <f t="shared" si="0"/>
        <v>-749.35000000000036</v>
      </c>
      <c r="R24">
        <f t="shared" si="1"/>
        <v>-9.2948399900769085E-2</v>
      </c>
      <c r="S24">
        <f t="shared" si="2"/>
        <v>849.32216151000011</v>
      </c>
      <c r="T24">
        <f t="shared" si="3"/>
        <v>0.10534881685809974</v>
      </c>
    </row>
    <row r="25" spans="1:20" x14ac:dyDescent="0.3">
      <c r="A25" s="2">
        <v>45992</v>
      </c>
      <c r="B25" t="s">
        <v>16</v>
      </c>
      <c r="C25">
        <v>9878</v>
      </c>
      <c r="E25">
        <v>8800.73</v>
      </c>
      <c r="F25">
        <v>7745.9255929884002</v>
      </c>
      <c r="G25">
        <v>10012.799999999999</v>
      </c>
      <c r="H25">
        <v>9038.7849999999999</v>
      </c>
      <c r="I25">
        <v>7745.9255929884002</v>
      </c>
      <c r="J25">
        <v>5957.8768102496997</v>
      </c>
      <c r="K25">
        <v>9420.1233196965004</v>
      </c>
      <c r="L25">
        <v>7254.5985807172001</v>
      </c>
      <c r="M25">
        <v>491.32701227119998</v>
      </c>
      <c r="N25">
        <v>9.48</v>
      </c>
      <c r="O25">
        <v>8941.5655999999999</v>
      </c>
      <c r="P25">
        <v>10814.4344</v>
      </c>
      <c r="Q25">
        <f t="shared" si="0"/>
        <v>1077.2700000000004</v>
      </c>
      <c r="R25">
        <f t="shared" si="1"/>
        <v>0.10905750151852606</v>
      </c>
      <c r="S25">
        <f t="shared" si="2"/>
        <v>2132.0744070115998</v>
      </c>
      <c r="T25">
        <f t="shared" si="3"/>
        <v>0.21584069720708643</v>
      </c>
    </row>
    <row r="26" spans="1:20" x14ac:dyDescent="0.3">
      <c r="A26" s="2">
        <v>45658</v>
      </c>
      <c r="B26" t="s">
        <v>17</v>
      </c>
      <c r="C26">
        <v>2407</v>
      </c>
      <c r="D26">
        <v>1957.13</v>
      </c>
      <c r="E26">
        <v>3048.11</v>
      </c>
      <c r="F26">
        <v>2144.861104733</v>
      </c>
      <c r="G26">
        <v>2772.9079999999999</v>
      </c>
      <c r="H26">
        <v>2502.62</v>
      </c>
      <c r="I26">
        <v>2144.861104733</v>
      </c>
      <c r="J26">
        <v>1342.4880389847001</v>
      </c>
      <c r="K26">
        <v>2946.6194456858998</v>
      </c>
      <c r="L26">
        <v>2404.5745373947998</v>
      </c>
      <c r="M26">
        <v>-259.71343266180003</v>
      </c>
      <c r="N26">
        <v>22.46</v>
      </c>
      <c r="O26">
        <v>1866.3878</v>
      </c>
      <c r="P26">
        <v>2947.6122</v>
      </c>
      <c r="Q26">
        <f t="shared" si="0"/>
        <v>-641.11000000000013</v>
      </c>
      <c r="R26">
        <f t="shared" si="1"/>
        <v>-0.26635230577482349</v>
      </c>
      <c r="S26">
        <f t="shared" si="2"/>
        <v>262.13889526699995</v>
      </c>
      <c r="T26">
        <f t="shared" si="3"/>
        <v>0.10890689458537596</v>
      </c>
    </row>
    <row r="27" spans="1:20" x14ac:dyDescent="0.3">
      <c r="A27" s="2">
        <v>45689</v>
      </c>
      <c r="B27" t="s">
        <v>17</v>
      </c>
      <c r="C27">
        <v>2544</v>
      </c>
      <c r="D27">
        <v>2684.42</v>
      </c>
      <c r="E27">
        <v>3131.78</v>
      </c>
      <c r="F27">
        <v>1914.5219543428</v>
      </c>
      <c r="G27">
        <v>2463.6480000000001</v>
      </c>
      <c r="H27">
        <v>2908.1</v>
      </c>
      <c r="I27">
        <v>1914.5219543428</v>
      </c>
      <c r="J27">
        <v>1126.5765495569999</v>
      </c>
      <c r="K27">
        <v>2693.9846513307998</v>
      </c>
      <c r="L27">
        <v>2381.7405213929001</v>
      </c>
      <c r="M27">
        <v>-467.21856705009998</v>
      </c>
      <c r="N27">
        <v>22.46</v>
      </c>
      <c r="O27">
        <v>1972.6176</v>
      </c>
      <c r="P27">
        <v>3115.3824</v>
      </c>
      <c r="Q27">
        <f t="shared" si="0"/>
        <v>-587.7800000000002</v>
      </c>
      <c r="R27">
        <f t="shared" si="1"/>
        <v>-0.2310455974842768</v>
      </c>
      <c r="S27">
        <f t="shared" si="2"/>
        <v>629.47804565720003</v>
      </c>
      <c r="T27">
        <f t="shared" si="3"/>
        <v>0.24743633870172957</v>
      </c>
    </row>
    <row r="28" spans="1:20" x14ac:dyDescent="0.3">
      <c r="A28" s="2">
        <v>45717</v>
      </c>
      <c r="B28" t="s">
        <v>17</v>
      </c>
      <c r="C28">
        <v>2873</v>
      </c>
      <c r="D28">
        <v>3181.07</v>
      </c>
      <c r="E28">
        <v>2763.63</v>
      </c>
      <c r="F28">
        <v>2700.6652442023001</v>
      </c>
      <c r="G28">
        <v>3138.2939999999999</v>
      </c>
      <c r="H28">
        <v>2972.35</v>
      </c>
      <c r="I28">
        <v>2700.6652442023001</v>
      </c>
      <c r="J28">
        <v>1857.8343109837001</v>
      </c>
      <c r="K28">
        <v>3446.5217514156002</v>
      </c>
      <c r="L28">
        <v>2361.1162488752002</v>
      </c>
      <c r="M28">
        <v>339.54899532719998</v>
      </c>
      <c r="N28">
        <v>22.46</v>
      </c>
      <c r="O28">
        <v>2227.7242000000001</v>
      </c>
      <c r="P28">
        <v>3518.2757999999999</v>
      </c>
      <c r="Q28">
        <f t="shared" si="0"/>
        <v>109.36999999999989</v>
      </c>
      <c r="R28">
        <f t="shared" si="1"/>
        <v>3.8068221371388752E-2</v>
      </c>
      <c r="S28">
        <f t="shared" si="2"/>
        <v>172.33475579769993</v>
      </c>
      <c r="T28">
        <f t="shared" si="3"/>
        <v>5.9984251930978047E-2</v>
      </c>
    </row>
    <row r="29" spans="1:20" x14ac:dyDescent="0.3">
      <c r="A29" s="2">
        <v>45748</v>
      </c>
      <c r="B29" t="s">
        <v>17</v>
      </c>
      <c r="C29">
        <v>1884</v>
      </c>
      <c r="D29">
        <v>1593.77</v>
      </c>
      <c r="E29">
        <v>1546.53</v>
      </c>
      <c r="F29">
        <v>1644.1887394226001</v>
      </c>
      <c r="G29">
        <v>2385.4479999999999</v>
      </c>
      <c r="H29">
        <v>1570.15</v>
      </c>
      <c r="I29">
        <v>1644.1887394226001</v>
      </c>
      <c r="J29">
        <v>859.63497577730004</v>
      </c>
      <c r="K29">
        <v>2440.770492052</v>
      </c>
      <c r="L29">
        <v>2338.2822328733</v>
      </c>
      <c r="M29">
        <v>-694.09349345069995</v>
      </c>
      <c r="N29">
        <v>22.46</v>
      </c>
      <c r="O29">
        <v>1460.8535999999999</v>
      </c>
      <c r="P29">
        <v>2307.1464000000001</v>
      </c>
      <c r="Q29">
        <f t="shared" si="0"/>
        <v>337.47</v>
      </c>
      <c r="R29">
        <f t="shared" si="1"/>
        <v>0.17912420382165606</v>
      </c>
      <c r="S29">
        <f t="shared" si="2"/>
        <v>239.81126057739993</v>
      </c>
      <c r="T29">
        <f t="shared" si="3"/>
        <v>0.12728835487123139</v>
      </c>
    </row>
    <row r="30" spans="1:20" x14ac:dyDescent="0.3">
      <c r="A30" s="2">
        <v>45778</v>
      </c>
      <c r="B30" t="s">
        <v>17</v>
      </c>
      <c r="C30">
        <v>1380</v>
      </c>
      <c r="D30">
        <v>979.05</v>
      </c>
      <c r="E30">
        <v>1726.74</v>
      </c>
      <c r="F30">
        <v>1757.1361008621</v>
      </c>
      <c r="G30">
        <v>2291.2220000000002</v>
      </c>
      <c r="H30">
        <v>1352.895</v>
      </c>
      <c r="I30">
        <v>1757.1361008621</v>
      </c>
      <c r="J30">
        <v>997.34025022009996</v>
      </c>
      <c r="K30">
        <v>2453.4259777631</v>
      </c>
      <c r="L30">
        <v>2316.1847980327998</v>
      </c>
      <c r="M30">
        <v>-559.04869717070005</v>
      </c>
      <c r="N30">
        <v>22.46</v>
      </c>
      <c r="O30">
        <v>1070.0519999999999</v>
      </c>
      <c r="P30">
        <v>1689.9480000000001</v>
      </c>
      <c r="Q30">
        <f t="shared" si="0"/>
        <v>-346.74</v>
      </c>
      <c r="R30">
        <f t="shared" si="1"/>
        <v>-0.25126086956521737</v>
      </c>
      <c r="S30">
        <f t="shared" si="2"/>
        <v>-377.13610086209997</v>
      </c>
      <c r="T30">
        <f t="shared" si="3"/>
        <v>-0.27328702961021739</v>
      </c>
    </row>
    <row r="31" spans="1:20" x14ac:dyDescent="0.3">
      <c r="A31" s="2">
        <v>45809</v>
      </c>
      <c r="B31" t="s">
        <v>17</v>
      </c>
      <c r="C31">
        <v>2552</v>
      </c>
      <c r="D31">
        <v>2445.16</v>
      </c>
      <c r="E31">
        <v>2407.23</v>
      </c>
      <c r="F31">
        <v>2230.6511367930998</v>
      </c>
      <c r="G31">
        <v>2737.9279999999999</v>
      </c>
      <c r="H31">
        <v>2426.1950000000002</v>
      </c>
      <c r="I31">
        <v>2230.6511367930998</v>
      </c>
      <c r="J31">
        <v>1474.7530211055</v>
      </c>
      <c r="K31">
        <v>2969.8379816284</v>
      </c>
      <c r="L31">
        <v>2293.3507820310001</v>
      </c>
      <c r="M31">
        <v>-62.6996452379</v>
      </c>
      <c r="N31">
        <v>22.46</v>
      </c>
      <c r="O31">
        <v>1978.8208</v>
      </c>
      <c r="P31">
        <v>3125.1792</v>
      </c>
      <c r="Q31">
        <f t="shared" si="0"/>
        <v>144.76999999999998</v>
      </c>
      <c r="R31">
        <f t="shared" si="1"/>
        <v>5.6728056426332281E-2</v>
      </c>
      <c r="S31">
        <f t="shared" si="2"/>
        <v>321.34886320690021</v>
      </c>
      <c r="T31">
        <f t="shared" si="3"/>
        <v>0.12592040094314272</v>
      </c>
    </row>
    <row r="32" spans="1:20" x14ac:dyDescent="0.3">
      <c r="A32" s="2">
        <v>45839</v>
      </c>
      <c r="B32" t="s">
        <v>17</v>
      </c>
      <c r="C32">
        <v>2591</v>
      </c>
      <c r="D32">
        <v>2977.92</v>
      </c>
      <c r="E32">
        <v>3215.97</v>
      </c>
      <c r="F32">
        <v>2868.1013195045002</v>
      </c>
      <c r="G32">
        <v>3299.444</v>
      </c>
      <c r="H32">
        <v>3096.9450000000002</v>
      </c>
      <c r="I32">
        <v>2868.1013195045002</v>
      </c>
      <c r="J32">
        <v>2069.7389036631998</v>
      </c>
      <c r="K32">
        <v>3610.8171305290998</v>
      </c>
      <c r="L32">
        <v>2271.2533471904999</v>
      </c>
      <c r="M32">
        <v>596.84797231410005</v>
      </c>
      <c r="N32">
        <v>22.46</v>
      </c>
      <c r="O32">
        <v>2009.0614</v>
      </c>
      <c r="P32">
        <v>3172.9386</v>
      </c>
      <c r="Q32">
        <f t="shared" si="0"/>
        <v>-624.9699999999998</v>
      </c>
      <c r="R32">
        <f t="shared" si="1"/>
        <v>-0.24120802778849856</v>
      </c>
      <c r="S32">
        <f t="shared" si="2"/>
        <v>-277.10131950450022</v>
      </c>
      <c r="T32">
        <f t="shared" si="3"/>
        <v>-0.1069476339268623</v>
      </c>
    </row>
    <row r="33" spans="1:20" x14ac:dyDescent="0.3">
      <c r="A33" s="2">
        <v>45870</v>
      </c>
      <c r="B33" t="s">
        <v>17</v>
      </c>
      <c r="C33">
        <v>2605</v>
      </c>
      <c r="D33">
        <v>1822.04</v>
      </c>
      <c r="E33">
        <v>1974.76</v>
      </c>
      <c r="F33">
        <v>1888.2116193335</v>
      </c>
      <c r="G33">
        <v>2344.326</v>
      </c>
      <c r="H33">
        <v>1898.4</v>
      </c>
      <c r="I33">
        <v>1888.2116193335</v>
      </c>
      <c r="J33">
        <v>1107.2197976304999</v>
      </c>
      <c r="K33">
        <v>2658.5540705584999</v>
      </c>
      <c r="L33">
        <v>2248.4193311886002</v>
      </c>
      <c r="M33">
        <v>-360.2077118551</v>
      </c>
      <c r="N33">
        <v>22.46</v>
      </c>
      <c r="O33">
        <v>2019.9169999999999</v>
      </c>
      <c r="P33">
        <v>3190.083000000001</v>
      </c>
      <c r="Q33">
        <f t="shared" si="0"/>
        <v>630.24</v>
      </c>
      <c r="R33">
        <f t="shared" si="1"/>
        <v>0.24193474088291747</v>
      </c>
      <c r="S33">
        <f t="shared" si="2"/>
        <v>716.78838066649996</v>
      </c>
      <c r="T33">
        <f t="shared" si="3"/>
        <v>0.27515868739596927</v>
      </c>
    </row>
    <row r="34" spans="1:20" x14ac:dyDescent="0.3">
      <c r="A34" s="2">
        <v>45901</v>
      </c>
      <c r="B34" t="s">
        <v>17</v>
      </c>
      <c r="C34">
        <v>2605</v>
      </c>
      <c r="D34">
        <v>2085.0100000000002</v>
      </c>
      <c r="E34">
        <v>2294.73</v>
      </c>
      <c r="F34">
        <v>2632.7154923208</v>
      </c>
      <c r="G34">
        <v>3227.0940000000001</v>
      </c>
      <c r="H34">
        <v>2189.87</v>
      </c>
      <c r="I34">
        <v>2632.7154923208</v>
      </c>
      <c r="J34">
        <v>1870.2420008010999</v>
      </c>
      <c r="K34">
        <v>3440.4894027231999</v>
      </c>
      <c r="L34">
        <v>2225.5853151868</v>
      </c>
      <c r="M34">
        <v>407.13017713400001</v>
      </c>
      <c r="N34">
        <v>22.46</v>
      </c>
      <c r="O34">
        <v>2019.9169999999999</v>
      </c>
      <c r="P34">
        <v>3190.083000000001</v>
      </c>
      <c r="Q34">
        <f t="shared" si="0"/>
        <v>310.27</v>
      </c>
      <c r="R34">
        <f t="shared" si="1"/>
        <v>0.11910556621880998</v>
      </c>
      <c r="S34">
        <f t="shared" si="2"/>
        <v>-27.715492320799967</v>
      </c>
      <c r="T34">
        <f t="shared" si="3"/>
        <v>-1.063934446095968E-2</v>
      </c>
    </row>
    <row r="35" spans="1:20" x14ac:dyDescent="0.3">
      <c r="A35" s="2">
        <v>45931</v>
      </c>
      <c r="B35" t="s">
        <v>17</v>
      </c>
      <c r="C35">
        <v>3506</v>
      </c>
      <c r="E35">
        <v>1186.49</v>
      </c>
      <c r="F35">
        <v>1383.4595944753</v>
      </c>
      <c r="G35">
        <v>2366.7024999999999</v>
      </c>
      <c r="H35">
        <v>2865.1</v>
      </c>
      <c r="I35">
        <v>1383.4595944753</v>
      </c>
      <c r="J35">
        <v>559.08880535979995</v>
      </c>
      <c r="K35">
        <v>2181.8195950777999</v>
      </c>
      <c r="L35">
        <v>2203.4878803462998</v>
      </c>
      <c r="M35">
        <v>-820.02828587099998</v>
      </c>
      <c r="N35">
        <v>22.46</v>
      </c>
      <c r="O35">
        <v>2718.5524</v>
      </c>
      <c r="P35">
        <v>4293.4476000000004</v>
      </c>
      <c r="Q35">
        <f t="shared" si="0"/>
        <v>2319.5100000000002</v>
      </c>
      <c r="R35">
        <f t="shared" si="1"/>
        <v>0.66158300057045072</v>
      </c>
      <c r="S35">
        <f t="shared" si="2"/>
        <v>2122.5404055247</v>
      </c>
      <c r="T35">
        <f t="shared" si="3"/>
        <v>0.6054022833784084</v>
      </c>
    </row>
    <row r="36" spans="1:20" x14ac:dyDescent="0.3">
      <c r="A36" s="2">
        <v>45962</v>
      </c>
      <c r="B36" t="s">
        <v>17</v>
      </c>
      <c r="C36">
        <v>2930</v>
      </c>
      <c r="E36">
        <v>3053.17</v>
      </c>
      <c r="F36">
        <v>2976.7697447710998</v>
      </c>
      <c r="G36">
        <v>3495.2925</v>
      </c>
      <c r="H36">
        <v>2905.1550000000002</v>
      </c>
      <c r="I36">
        <v>2976.7697447710998</v>
      </c>
      <c r="J36">
        <v>2207.2611874272002</v>
      </c>
      <c r="K36">
        <v>3801.4522829070002</v>
      </c>
      <c r="L36">
        <v>2180.6538643444001</v>
      </c>
      <c r="M36">
        <v>796.11588042669996</v>
      </c>
      <c r="N36">
        <v>22.46</v>
      </c>
      <c r="O36">
        <v>2271.922</v>
      </c>
      <c r="P36">
        <v>3588.078</v>
      </c>
      <c r="Q36">
        <f t="shared" si="0"/>
        <v>-123.17000000000007</v>
      </c>
      <c r="R36">
        <f t="shared" si="1"/>
        <v>-4.2037542662116067E-2</v>
      </c>
      <c r="S36">
        <f t="shared" si="2"/>
        <v>-46.769744771099795</v>
      </c>
      <c r="T36">
        <f t="shared" si="3"/>
        <v>-1.5962370229044297E-2</v>
      </c>
    </row>
    <row r="37" spans="1:20" x14ac:dyDescent="0.3">
      <c r="A37" s="2">
        <v>45992</v>
      </c>
      <c r="B37" t="s">
        <v>17</v>
      </c>
      <c r="C37">
        <v>1663</v>
      </c>
      <c r="E37">
        <v>2038.45</v>
      </c>
      <c r="F37">
        <v>2350.9221983287998</v>
      </c>
      <c r="G37">
        <v>2910.7750000000001</v>
      </c>
      <c r="H37">
        <v>2269.64</v>
      </c>
      <c r="I37">
        <v>2350.9221983287998</v>
      </c>
      <c r="J37">
        <v>1555.2766369829001</v>
      </c>
      <c r="K37">
        <v>3137.4419133173001</v>
      </c>
      <c r="L37">
        <v>2158.5564295038998</v>
      </c>
      <c r="M37">
        <v>192.36576882489999</v>
      </c>
      <c r="N37">
        <v>22.46</v>
      </c>
      <c r="O37">
        <v>1289.4902</v>
      </c>
      <c r="P37">
        <v>2036.5098</v>
      </c>
      <c r="Q37">
        <f t="shared" si="0"/>
        <v>-375.45000000000005</v>
      </c>
      <c r="R37">
        <f t="shared" si="1"/>
        <v>-0.22576668671076372</v>
      </c>
      <c r="S37">
        <f t="shared" si="2"/>
        <v>-687.92219832879982</v>
      </c>
      <c r="T37">
        <f t="shared" si="3"/>
        <v>-0.41366337842982553</v>
      </c>
    </row>
    <row r="38" spans="1:20" x14ac:dyDescent="0.3">
      <c r="A38" s="2">
        <v>45658</v>
      </c>
      <c r="B38" t="s">
        <v>18</v>
      </c>
      <c r="C38">
        <v>1347</v>
      </c>
      <c r="D38">
        <v>577.42999999999995</v>
      </c>
      <c r="E38">
        <v>2435.12</v>
      </c>
      <c r="F38">
        <v>1720.4732768526001</v>
      </c>
      <c r="G38">
        <v>2603.27</v>
      </c>
      <c r="H38">
        <v>1506.2750000000001</v>
      </c>
      <c r="I38">
        <v>1720.4732768526001</v>
      </c>
      <c r="J38">
        <v>938.84734196930003</v>
      </c>
      <c r="K38">
        <v>2505.3171936522999</v>
      </c>
      <c r="L38">
        <v>1486.3628188499999</v>
      </c>
      <c r="M38">
        <v>234.11045800260001</v>
      </c>
      <c r="N38">
        <v>25</v>
      </c>
      <c r="O38">
        <v>1010.25</v>
      </c>
      <c r="P38">
        <v>1683.75</v>
      </c>
      <c r="Q38">
        <f t="shared" si="0"/>
        <v>-1088.1199999999999</v>
      </c>
      <c r="R38">
        <f t="shared" si="1"/>
        <v>-0.80780994803266515</v>
      </c>
      <c r="S38">
        <f t="shared" si="2"/>
        <v>-373.47327685260007</v>
      </c>
      <c r="T38">
        <f t="shared" si="3"/>
        <v>-0.27726301176881962</v>
      </c>
    </row>
    <row r="39" spans="1:20" x14ac:dyDescent="0.3">
      <c r="A39" s="2">
        <v>45689</v>
      </c>
      <c r="B39" t="s">
        <v>18</v>
      </c>
      <c r="C39">
        <v>1236</v>
      </c>
      <c r="D39">
        <v>1235.46</v>
      </c>
      <c r="E39">
        <v>2504.84</v>
      </c>
      <c r="F39">
        <v>1648.4969873468999</v>
      </c>
      <c r="G39">
        <v>2456.0540000000001</v>
      </c>
      <c r="H39">
        <v>1870.15</v>
      </c>
      <c r="I39">
        <v>1648.4969873468999</v>
      </c>
      <c r="J39">
        <v>866.47158129620004</v>
      </c>
      <c r="K39">
        <v>2469.9553952412002</v>
      </c>
      <c r="L39">
        <v>1452.2800156779999</v>
      </c>
      <c r="M39">
        <v>196.21697166889999</v>
      </c>
      <c r="N39">
        <v>25</v>
      </c>
      <c r="O39">
        <v>927</v>
      </c>
      <c r="P39">
        <v>1545</v>
      </c>
      <c r="Q39">
        <f t="shared" si="0"/>
        <v>-1268.8400000000001</v>
      </c>
      <c r="R39">
        <f t="shared" si="1"/>
        <v>-1.0265695792880261</v>
      </c>
      <c r="S39">
        <f t="shared" si="2"/>
        <v>-412.49698734689991</v>
      </c>
      <c r="T39">
        <f t="shared" si="3"/>
        <v>-0.33373542665606787</v>
      </c>
    </row>
    <row r="40" spans="1:20" x14ac:dyDescent="0.3">
      <c r="A40" s="2">
        <v>45717</v>
      </c>
      <c r="B40" t="s">
        <v>18</v>
      </c>
      <c r="C40">
        <v>2029</v>
      </c>
      <c r="D40">
        <v>1919.17</v>
      </c>
      <c r="E40">
        <v>1938.92</v>
      </c>
      <c r="F40">
        <v>1314.1551165052999</v>
      </c>
      <c r="G40">
        <v>2116.2739999999999</v>
      </c>
      <c r="H40">
        <v>1929.0450000000001</v>
      </c>
      <c r="I40">
        <v>1314.1551165052999</v>
      </c>
      <c r="J40">
        <v>533.27806700090002</v>
      </c>
      <c r="K40">
        <v>2104.8288867535998</v>
      </c>
      <c r="L40">
        <v>1421.4955482969001</v>
      </c>
      <c r="M40">
        <v>-107.3404317916</v>
      </c>
      <c r="N40">
        <v>25</v>
      </c>
      <c r="O40">
        <v>1521.75</v>
      </c>
      <c r="P40">
        <v>2536.25</v>
      </c>
      <c r="Q40">
        <f t="shared" si="0"/>
        <v>90.079999999999927</v>
      </c>
      <c r="R40">
        <f t="shared" si="1"/>
        <v>4.4396254312469158E-2</v>
      </c>
      <c r="S40">
        <f t="shared" si="2"/>
        <v>714.84488349470007</v>
      </c>
      <c r="T40">
        <f t="shared" si="3"/>
        <v>0.35231389033745691</v>
      </c>
    </row>
    <row r="41" spans="1:20" x14ac:dyDescent="0.3">
      <c r="A41" s="2">
        <v>45748</v>
      </c>
      <c r="B41" t="s">
        <v>18</v>
      </c>
      <c r="C41">
        <v>1672</v>
      </c>
      <c r="D41">
        <v>1229.53</v>
      </c>
      <c r="E41">
        <v>2767.72</v>
      </c>
      <c r="F41">
        <v>2005.7124308645</v>
      </c>
      <c r="G41">
        <v>2671.4940000000001</v>
      </c>
      <c r="H41">
        <v>1998.625</v>
      </c>
      <c r="I41">
        <v>2005.7124308645</v>
      </c>
      <c r="J41">
        <v>1228.9458522288</v>
      </c>
      <c r="K41">
        <v>2840.5787920950002</v>
      </c>
      <c r="L41">
        <v>1387.4127451249001</v>
      </c>
      <c r="M41">
        <v>618.29968573960002</v>
      </c>
      <c r="N41">
        <v>25</v>
      </c>
      <c r="O41">
        <v>1254</v>
      </c>
      <c r="P41">
        <v>2090</v>
      </c>
      <c r="Q41">
        <f t="shared" si="0"/>
        <v>-1095.7199999999998</v>
      </c>
      <c r="R41">
        <f t="shared" si="1"/>
        <v>-0.65533492822966499</v>
      </c>
      <c r="S41">
        <f t="shared" si="2"/>
        <v>-333.71243086449999</v>
      </c>
      <c r="T41">
        <f t="shared" si="3"/>
        <v>-0.19958877444049042</v>
      </c>
    </row>
    <row r="42" spans="1:20" x14ac:dyDescent="0.3">
      <c r="A42" s="2">
        <v>45778</v>
      </c>
      <c r="B42" t="s">
        <v>18</v>
      </c>
      <c r="C42">
        <v>1885</v>
      </c>
      <c r="D42">
        <v>1755</v>
      </c>
      <c r="E42">
        <v>2134.9499999999998</v>
      </c>
      <c r="F42">
        <v>1191.7586936575001</v>
      </c>
      <c r="G42">
        <v>1985.3579999999999</v>
      </c>
      <c r="H42">
        <v>1944.9749999999999</v>
      </c>
      <c r="I42">
        <v>1191.7586936575001</v>
      </c>
      <c r="J42">
        <v>408.6623255243</v>
      </c>
      <c r="K42">
        <v>1947.3422413303001</v>
      </c>
      <c r="L42">
        <v>1354.4293872165999</v>
      </c>
      <c r="M42">
        <v>-162.67069355909999</v>
      </c>
      <c r="N42">
        <v>25</v>
      </c>
      <c r="O42">
        <v>1413.75</v>
      </c>
      <c r="P42">
        <v>2356.25</v>
      </c>
      <c r="Q42">
        <f t="shared" si="0"/>
        <v>-249.94999999999982</v>
      </c>
      <c r="R42">
        <f t="shared" si="1"/>
        <v>-0.13259946949602111</v>
      </c>
      <c r="S42">
        <f t="shared" si="2"/>
        <v>693.24130634249991</v>
      </c>
      <c r="T42">
        <f t="shared" si="3"/>
        <v>0.3677672712692307</v>
      </c>
    </row>
    <row r="43" spans="1:20" x14ac:dyDescent="0.3">
      <c r="A43" s="2">
        <v>45809</v>
      </c>
      <c r="B43" t="s">
        <v>18</v>
      </c>
      <c r="C43">
        <v>1414</v>
      </c>
      <c r="D43">
        <v>1642.36</v>
      </c>
      <c r="E43">
        <v>1059.3800000000001</v>
      </c>
      <c r="F43">
        <v>1052.9938663501</v>
      </c>
      <c r="G43">
        <v>2001.37</v>
      </c>
      <c r="H43">
        <v>1350.87</v>
      </c>
      <c r="I43">
        <v>1052.9938663501</v>
      </c>
      <c r="J43">
        <v>274.40962101899999</v>
      </c>
      <c r="K43">
        <v>1842.65505061</v>
      </c>
      <c r="L43">
        <v>1320.3465840445999</v>
      </c>
      <c r="M43">
        <v>-267.35271769449997</v>
      </c>
      <c r="N43">
        <v>25</v>
      </c>
      <c r="O43">
        <v>1060.5</v>
      </c>
      <c r="P43">
        <v>1767.5</v>
      </c>
      <c r="Q43">
        <f t="shared" si="0"/>
        <v>354.61999999999989</v>
      </c>
      <c r="R43">
        <f t="shared" si="1"/>
        <v>0.25079207920792074</v>
      </c>
      <c r="S43">
        <f t="shared" si="2"/>
        <v>361.00613364989999</v>
      </c>
      <c r="T43">
        <f t="shared" si="3"/>
        <v>0.25530843963925037</v>
      </c>
    </row>
    <row r="44" spans="1:20" x14ac:dyDescent="0.3">
      <c r="A44" s="2">
        <v>45839</v>
      </c>
      <c r="B44" t="s">
        <v>18</v>
      </c>
      <c r="C44">
        <v>1784</v>
      </c>
      <c r="D44">
        <v>1925.9</v>
      </c>
      <c r="E44">
        <v>1599.25</v>
      </c>
      <c r="F44">
        <v>1201.0984990217</v>
      </c>
      <c r="G44">
        <v>2054.7539999999999</v>
      </c>
      <c r="H44">
        <v>1762.575</v>
      </c>
      <c r="I44">
        <v>1201.0984990217</v>
      </c>
      <c r="J44">
        <v>325.47398950450003</v>
      </c>
      <c r="K44">
        <v>1940.1780111625001</v>
      </c>
      <c r="L44">
        <v>1287.3632261362</v>
      </c>
      <c r="M44">
        <v>-86.264727114600007</v>
      </c>
      <c r="N44">
        <v>25</v>
      </c>
      <c r="O44">
        <v>1338</v>
      </c>
      <c r="P44">
        <v>2230</v>
      </c>
      <c r="Q44">
        <f t="shared" si="0"/>
        <v>184.75</v>
      </c>
      <c r="R44">
        <f t="shared" si="1"/>
        <v>0.10355941704035874</v>
      </c>
      <c r="S44">
        <f t="shared" si="2"/>
        <v>582.90150097829996</v>
      </c>
      <c r="T44">
        <f t="shared" si="3"/>
        <v>0.3267385095169843</v>
      </c>
    </row>
    <row r="45" spans="1:20" x14ac:dyDescent="0.3">
      <c r="A45" s="2">
        <v>45870</v>
      </c>
      <c r="B45" t="s">
        <v>18</v>
      </c>
      <c r="C45">
        <v>1687</v>
      </c>
      <c r="D45">
        <v>1182.74</v>
      </c>
      <c r="E45">
        <v>1904.61</v>
      </c>
      <c r="F45">
        <v>949.9459733745</v>
      </c>
      <c r="G45">
        <v>1727.354</v>
      </c>
      <c r="H45">
        <v>1543.675</v>
      </c>
      <c r="I45">
        <v>949.9459733745</v>
      </c>
      <c r="J45">
        <v>166.30419546729999</v>
      </c>
      <c r="K45">
        <v>1707.1837626122001</v>
      </c>
      <c r="L45">
        <v>1253.2804229643</v>
      </c>
      <c r="M45">
        <v>-303.33444958979999</v>
      </c>
      <c r="N45">
        <v>25</v>
      </c>
      <c r="O45">
        <v>1265.25</v>
      </c>
      <c r="P45">
        <v>2108.75</v>
      </c>
      <c r="Q45">
        <f t="shared" si="0"/>
        <v>-217.6099999999999</v>
      </c>
      <c r="R45">
        <f t="shared" si="1"/>
        <v>-0.12899229401304085</v>
      </c>
      <c r="S45">
        <f t="shared" si="2"/>
        <v>737.0540266255</v>
      </c>
      <c r="T45">
        <f t="shared" si="3"/>
        <v>0.43690220902519267</v>
      </c>
    </row>
    <row r="46" spans="1:20" x14ac:dyDescent="0.3">
      <c r="A46" s="2">
        <v>45901</v>
      </c>
      <c r="B46" t="s">
        <v>18</v>
      </c>
      <c r="C46">
        <v>1614</v>
      </c>
      <c r="D46">
        <v>1190.22</v>
      </c>
      <c r="E46">
        <v>1419.13</v>
      </c>
      <c r="F46">
        <v>1298.9687911581</v>
      </c>
      <c r="G46">
        <v>2022.97</v>
      </c>
      <c r="H46">
        <v>1304.675</v>
      </c>
      <c r="I46">
        <v>1298.9687911581</v>
      </c>
      <c r="J46">
        <v>454.05491654449997</v>
      </c>
      <c r="K46">
        <v>2137.9664381533998</v>
      </c>
      <c r="L46">
        <v>1219.1976197923</v>
      </c>
      <c r="M46">
        <v>79.771171365800001</v>
      </c>
      <c r="N46">
        <v>25</v>
      </c>
      <c r="O46">
        <v>1210.5</v>
      </c>
      <c r="P46">
        <v>2017.5</v>
      </c>
      <c r="Q46">
        <f t="shared" si="0"/>
        <v>194.86999999999989</v>
      </c>
      <c r="R46">
        <f t="shared" si="1"/>
        <v>0.12073729863692682</v>
      </c>
      <c r="S46">
        <f t="shared" si="2"/>
        <v>315.03120884190002</v>
      </c>
      <c r="T46">
        <f t="shared" si="3"/>
        <v>0.19518662257862454</v>
      </c>
    </row>
    <row r="47" spans="1:20" x14ac:dyDescent="0.3">
      <c r="A47" s="2">
        <v>45931</v>
      </c>
      <c r="B47" t="s">
        <v>18</v>
      </c>
      <c r="C47">
        <v>2134</v>
      </c>
      <c r="E47">
        <v>2275.21</v>
      </c>
      <c r="F47">
        <v>993.08355138039997</v>
      </c>
      <c r="G47">
        <v>1917.66</v>
      </c>
      <c r="H47">
        <v>1956.84</v>
      </c>
      <c r="I47">
        <v>993.08355138039997</v>
      </c>
      <c r="J47">
        <v>235.19572155169999</v>
      </c>
      <c r="K47">
        <v>1738.8749001517001</v>
      </c>
      <c r="L47">
        <v>1186.2142618840001</v>
      </c>
      <c r="M47">
        <v>-193.1307105036</v>
      </c>
      <c r="N47">
        <v>25</v>
      </c>
      <c r="O47">
        <v>1600.5</v>
      </c>
      <c r="P47">
        <v>2667.5</v>
      </c>
      <c r="Q47">
        <f t="shared" si="0"/>
        <v>-141.21000000000004</v>
      </c>
      <c r="R47">
        <f t="shared" si="1"/>
        <v>-6.617150890346768E-2</v>
      </c>
      <c r="S47">
        <f t="shared" si="2"/>
        <v>1140.9164486196</v>
      </c>
      <c r="T47">
        <f t="shared" si="3"/>
        <v>0.53463751106822865</v>
      </c>
    </row>
    <row r="48" spans="1:20" x14ac:dyDescent="0.3">
      <c r="A48" s="2">
        <v>45962</v>
      </c>
      <c r="B48" t="s">
        <v>18</v>
      </c>
      <c r="C48">
        <v>1704</v>
      </c>
      <c r="E48">
        <v>1840.16</v>
      </c>
      <c r="F48">
        <v>1179.5431853140001</v>
      </c>
      <c r="G48">
        <v>2184.3249999999998</v>
      </c>
      <c r="H48">
        <v>1850.9449999999999</v>
      </c>
      <c r="I48">
        <v>1179.5431853140001</v>
      </c>
      <c r="J48">
        <v>412.63330514960001</v>
      </c>
      <c r="K48">
        <v>1945.7080227867</v>
      </c>
      <c r="L48">
        <v>1152.131458712</v>
      </c>
      <c r="M48">
        <v>27.411726602000002</v>
      </c>
      <c r="N48">
        <v>25</v>
      </c>
      <c r="O48">
        <v>1278</v>
      </c>
      <c r="P48">
        <v>2130</v>
      </c>
      <c r="Q48">
        <f t="shared" si="0"/>
        <v>-136.16000000000008</v>
      </c>
      <c r="R48">
        <f t="shared" si="1"/>
        <v>-7.9906103286385019E-2</v>
      </c>
      <c r="S48">
        <f t="shared" si="2"/>
        <v>524.45681468599992</v>
      </c>
      <c r="T48">
        <f t="shared" si="3"/>
        <v>0.30777982082511735</v>
      </c>
    </row>
    <row r="49" spans="1:20" x14ac:dyDescent="0.3">
      <c r="A49" s="2">
        <v>45992</v>
      </c>
      <c r="B49" t="s">
        <v>18</v>
      </c>
      <c r="C49">
        <v>2328</v>
      </c>
      <c r="E49">
        <v>1413.98</v>
      </c>
      <c r="F49">
        <v>1178.9323471307</v>
      </c>
      <c r="G49">
        <v>2311.0425</v>
      </c>
      <c r="H49">
        <v>1692.84</v>
      </c>
      <c r="I49">
        <v>1178.9323471307</v>
      </c>
      <c r="J49">
        <v>375.78312999000002</v>
      </c>
      <c r="K49">
        <v>1931.6356981223</v>
      </c>
      <c r="L49">
        <v>1119.1481008036001</v>
      </c>
      <c r="M49">
        <v>59.7842463271</v>
      </c>
      <c r="N49">
        <v>25</v>
      </c>
      <c r="O49">
        <v>1746</v>
      </c>
      <c r="P49">
        <v>2910</v>
      </c>
      <c r="Q49">
        <f t="shared" si="0"/>
        <v>914.02</v>
      </c>
      <c r="R49">
        <f t="shared" si="1"/>
        <v>0.39262027491408935</v>
      </c>
      <c r="S49">
        <f t="shared" si="2"/>
        <v>1149.0676528693</v>
      </c>
      <c r="T49">
        <f t="shared" si="3"/>
        <v>0.49358576154179551</v>
      </c>
    </row>
    <row r="50" spans="1:20" x14ac:dyDescent="0.3">
      <c r="A50" s="2">
        <v>45658</v>
      </c>
      <c r="B50" t="s">
        <v>19</v>
      </c>
      <c r="C50">
        <v>3403</v>
      </c>
      <c r="D50">
        <v>3209.63</v>
      </c>
      <c r="E50">
        <v>4483.93</v>
      </c>
      <c r="F50">
        <v>4994.8326203437</v>
      </c>
      <c r="G50">
        <v>5025.5020000000004</v>
      </c>
      <c r="H50">
        <v>3846.78</v>
      </c>
      <c r="I50">
        <v>4994.8326203437</v>
      </c>
      <c r="J50">
        <v>3890.3829332550999</v>
      </c>
      <c r="K50">
        <v>6008.0178447859998</v>
      </c>
      <c r="L50">
        <v>4115.3386646268</v>
      </c>
      <c r="M50">
        <v>879.49395571699995</v>
      </c>
      <c r="N50">
        <v>23.98</v>
      </c>
      <c r="O50">
        <v>2586.9605999999999</v>
      </c>
      <c r="P50">
        <v>4219.0393999999997</v>
      </c>
      <c r="Q50">
        <f t="shared" si="0"/>
        <v>-1080.9300000000003</v>
      </c>
      <c r="R50">
        <f t="shared" si="1"/>
        <v>-0.31764031736702919</v>
      </c>
      <c r="S50">
        <f t="shared" si="2"/>
        <v>-1591.8326203437</v>
      </c>
      <c r="T50">
        <f t="shared" si="3"/>
        <v>-0.46777332363905377</v>
      </c>
    </row>
    <row r="51" spans="1:20" x14ac:dyDescent="0.3">
      <c r="A51" s="2">
        <v>45689</v>
      </c>
      <c r="B51" t="s">
        <v>19</v>
      </c>
      <c r="C51">
        <v>3194</v>
      </c>
      <c r="D51">
        <v>2945.32</v>
      </c>
      <c r="E51">
        <v>5452.35</v>
      </c>
      <c r="F51">
        <v>2873.3735394323999</v>
      </c>
      <c r="G51">
        <v>3946.1060000000002</v>
      </c>
      <c r="H51">
        <v>4198.835</v>
      </c>
      <c r="I51">
        <v>2873.3735394323999</v>
      </c>
      <c r="J51">
        <v>1778.9563490682001</v>
      </c>
      <c r="K51">
        <v>3949.7668028060998</v>
      </c>
      <c r="L51">
        <v>4091.8454454871999</v>
      </c>
      <c r="M51">
        <v>-1218.4719060548</v>
      </c>
      <c r="N51">
        <v>23.98</v>
      </c>
      <c r="O51">
        <v>2428.0787999999998</v>
      </c>
      <c r="P51">
        <v>3959.9212000000002</v>
      </c>
      <c r="Q51">
        <f t="shared" si="0"/>
        <v>-2258.3500000000004</v>
      </c>
      <c r="R51">
        <f t="shared" si="1"/>
        <v>-0.70706011271133384</v>
      </c>
      <c r="S51">
        <f t="shared" si="2"/>
        <v>320.62646056760013</v>
      </c>
      <c r="T51">
        <f t="shared" si="3"/>
        <v>0.10038398890657486</v>
      </c>
    </row>
    <row r="52" spans="1:20" x14ac:dyDescent="0.3">
      <c r="A52" s="2">
        <v>45717</v>
      </c>
      <c r="B52" t="s">
        <v>19</v>
      </c>
      <c r="C52">
        <v>4722</v>
      </c>
      <c r="D52">
        <v>5242.7</v>
      </c>
      <c r="E52">
        <v>4192.8900000000003</v>
      </c>
      <c r="F52">
        <v>4114.9818128637999</v>
      </c>
      <c r="G52">
        <v>4497.2539999999999</v>
      </c>
      <c r="H52">
        <v>4717.7950000000001</v>
      </c>
      <c r="I52">
        <v>4114.9818128637999</v>
      </c>
      <c r="J52">
        <v>3058.4889625777</v>
      </c>
      <c r="K52">
        <v>5236.5596450106996</v>
      </c>
      <c r="L52">
        <v>4070.6257636836999</v>
      </c>
      <c r="M52">
        <v>44.356049180100001</v>
      </c>
      <c r="N52">
        <v>23.98</v>
      </c>
      <c r="O52">
        <v>3589.6644000000001</v>
      </c>
      <c r="P52">
        <v>5854.3356000000003</v>
      </c>
      <c r="Q52">
        <f t="shared" si="0"/>
        <v>529.10999999999967</v>
      </c>
      <c r="R52">
        <f t="shared" si="1"/>
        <v>0.11205209656925025</v>
      </c>
      <c r="S52">
        <f t="shared" si="2"/>
        <v>607.01818713620014</v>
      </c>
      <c r="T52">
        <f t="shared" si="3"/>
        <v>0.12855107732659893</v>
      </c>
    </row>
    <row r="53" spans="1:20" x14ac:dyDescent="0.3">
      <c r="A53" s="2">
        <v>45748</v>
      </c>
      <c r="B53" t="s">
        <v>19</v>
      </c>
      <c r="C53">
        <v>3304</v>
      </c>
      <c r="D53">
        <v>3324.2</v>
      </c>
      <c r="E53">
        <v>3573.72</v>
      </c>
      <c r="F53">
        <v>3711.7972872794999</v>
      </c>
      <c r="G53">
        <v>4396.7839999999997</v>
      </c>
      <c r="H53">
        <v>3448.96</v>
      </c>
      <c r="I53">
        <v>3711.7972872794999</v>
      </c>
      <c r="J53">
        <v>2597.0692276046002</v>
      </c>
      <c r="K53">
        <v>4782.5842437827996</v>
      </c>
      <c r="L53">
        <v>4047.1325445440998</v>
      </c>
      <c r="M53">
        <v>-335.3352572645</v>
      </c>
      <c r="N53">
        <v>23.98</v>
      </c>
      <c r="O53">
        <v>2511.7008000000001</v>
      </c>
      <c r="P53">
        <v>4096.2992000000004</v>
      </c>
      <c r="Q53">
        <f t="shared" si="0"/>
        <v>-269.7199999999998</v>
      </c>
      <c r="R53">
        <f t="shared" si="1"/>
        <v>-8.1634382566585895E-2</v>
      </c>
      <c r="S53">
        <f t="shared" si="2"/>
        <v>-407.79728727949987</v>
      </c>
      <c r="T53">
        <f t="shared" si="3"/>
        <v>-0.12342532907975177</v>
      </c>
    </row>
    <row r="54" spans="1:20" x14ac:dyDescent="0.3">
      <c r="A54" s="2">
        <v>45778</v>
      </c>
      <c r="B54" t="s">
        <v>19</v>
      </c>
      <c r="C54">
        <v>3429</v>
      </c>
      <c r="D54">
        <v>3106.74</v>
      </c>
      <c r="E54">
        <v>2953.21</v>
      </c>
      <c r="F54">
        <v>3665.1035715181001</v>
      </c>
      <c r="G54">
        <v>4160.3239999999996</v>
      </c>
      <c r="H54">
        <v>3029.9749999999999</v>
      </c>
      <c r="I54">
        <v>3665.1035715181001</v>
      </c>
      <c r="J54">
        <v>2485.9715706564002</v>
      </c>
      <c r="K54">
        <v>4764.4410691767998</v>
      </c>
      <c r="L54">
        <v>4024.3971711832</v>
      </c>
      <c r="M54">
        <v>-359.29359966499999</v>
      </c>
      <c r="N54">
        <v>23.98</v>
      </c>
      <c r="O54">
        <v>2606.7258000000002</v>
      </c>
      <c r="P54">
        <v>4251.2741999999998</v>
      </c>
      <c r="Q54">
        <f t="shared" si="0"/>
        <v>475.78999999999996</v>
      </c>
      <c r="R54">
        <f t="shared" si="1"/>
        <v>0.13875473899095944</v>
      </c>
      <c r="S54">
        <f t="shared" si="2"/>
        <v>-236.10357151810013</v>
      </c>
      <c r="T54">
        <f t="shared" si="3"/>
        <v>-6.8854934825925959E-2</v>
      </c>
    </row>
    <row r="55" spans="1:20" x14ac:dyDescent="0.3">
      <c r="A55" s="2">
        <v>45809</v>
      </c>
      <c r="B55" t="s">
        <v>19</v>
      </c>
      <c r="C55">
        <v>3499</v>
      </c>
      <c r="D55">
        <v>4058.73</v>
      </c>
      <c r="E55">
        <v>5312.18</v>
      </c>
      <c r="F55">
        <v>4048.1252900983</v>
      </c>
      <c r="G55">
        <v>4490.8739999999998</v>
      </c>
      <c r="H55">
        <v>4685.4549999999999</v>
      </c>
      <c r="I55">
        <v>4048.1252900983</v>
      </c>
      <c r="J55">
        <v>2946.0875943308001</v>
      </c>
      <c r="K55">
        <v>5176.0335316117998</v>
      </c>
      <c r="L55">
        <v>4000.9039520435999</v>
      </c>
      <c r="M55">
        <v>47.2213380548</v>
      </c>
      <c r="N55">
        <v>23.98</v>
      </c>
      <c r="O55">
        <v>2659.9398000000001</v>
      </c>
      <c r="P55">
        <v>4338.0601999999999</v>
      </c>
      <c r="Q55">
        <f t="shared" si="0"/>
        <v>-1813.1800000000003</v>
      </c>
      <c r="R55">
        <f t="shared" si="1"/>
        <v>-0.518199485567305</v>
      </c>
      <c r="S55">
        <f t="shared" si="2"/>
        <v>-549.12529009829996</v>
      </c>
      <c r="T55">
        <f t="shared" si="3"/>
        <v>-0.15693777939362674</v>
      </c>
    </row>
    <row r="56" spans="1:20" x14ac:dyDescent="0.3">
      <c r="A56" s="2">
        <v>45839</v>
      </c>
      <c r="B56" t="s">
        <v>19</v>
      </c>
      <c r="C56">
        <v>4056</v>
      </c>
      <c r="D56">
        <v>3270.52</v>
      </c>
      <c r="E56">
        <v>3739.95</v>
      </c>
      <c r="F56">
        <v>4052.0195170904999</v>
      </c>
      <c r="G56">
        <v>4780.8220000000001</v>
      </c>
      <c r="H56">
        <v>3505.2350000000001</v>
      </c>
      <c r="I56">
        <v>4052.0195170904999</v>
      </c>
      <c r="J56">
        <v>2871.6603847222</v>
      </c>
      <c r="K56">
        <v>5101.0042890124996</v>
      </c>
      <c r="L56">
        <v>3978.1685786827002</v>
      </c>
      <c r="M56">
        <v>73.850938407800001</v>
      </c>
      <c r="N56">
        <v>23.98</v>
      </c>
      <c r="O56">
        <v>3083.3712</v>
      </c>
      <c r="P56">
        <v>5028.6288000000004</v>
      </c>
      <c r="Q56">
        <f t="shared" si="0"/>
        <v>316.05000000000018</v>
      </c>
      <c r="R56">
        <f t="shared" si="1"/>
        <v>7.7921597633136136E-2</v>
      </c>
      <c r="S56">
        <f t="shared" si="2"/>
        <v>3.9804829095000969</v>
      </c>
      <c r="T56">
        <f t="shared" si="3"/>
        <v>9.8138138794381089E-4</v>
      </c>
    </row>
    <row r="57" spans="1:20" x14ac:dyDescent="0.3">
      <c r="A57" s="2">
        <v>45870</v>
      </c>
      <c r="B57" t="s">
        <v>19</v>
      </c>
      <c r="C57">
        <v>3708</v>
      </c>
      <c r="D57">
        <v>3497.65</v>
      </c>
      <c r="E57">
        <v>2726.19</v>
      </c>
      <c r="F57">
        <v>3292.3966966275002</v>
      </c>
      <c r="G57">
        <v>3830.6660000000002</v>
      </c>
      <c r="H57">
        <v>3111.92</v>
      </c>
      <c r="I57">
        <v>3292.3966966275002</v>
      </c>
      <c r="J57">
        <v>2209.2532717521999</v>
      </c>
      <c r="K57">
        <v>4398.3592369689004</v>
      </c>
      <c r="L57">
        <v>3954.6753595431001</v>
      </c>
      <c r="M57">
        <v>-662.27866291559997</v>
      </c>
      <c r="N57">
        <v>23.98</v>
      </c>
      <c r="O57">
        <v>2818.8216000000002</v>
      </c>
      <c r="P57">
        <v>4597.1783999999998</v>
      </c>
      <c r="Q57">
        <f t="shared" si="0"/>
        <v>981.81</v>
      </c>
      <c r="R57">
        <f t="shared" si="1"/>
        <v>0.26478155339805826</v>
      </c>
      <c r="S57">
        <f t="shared" si="2"/>
        <v>415.60330337249979</v>
      </c>
      <c r="T57">
        <f t="shared" si="3"/>
        <v>0.11208287577467632</v>
      </c>
    </row>
    <row r="58" spans="1:20" x14ac:dyDescent="0.3">
      <c r="A58" s="2">
        <v>45901</v>
      </c>
      <c r="B58" t="s">
        <v>19</v>
      </c>
      <c r="C58">
        <v>4005</v>
      </c>
      <c r="D58">
        <v>4597.6000000000004</v>
      </c>
      <c r="E58">
        <v>3264.48</v>
      </c>
      <c r="F58">
        <v>3930.7489913199001</v>
      </c>
      <c r="G58">
        <v>4476.9620000000004</v>
      </c>
      <c r="H58">
        <v>3931.04</v>
      </c>
      <c r="I58">
        <v>3930.7489913199001</v>
      </c>
      <c r="J58">
        <v>2850.9502108810998</v>
      </c>
      <c r="K58">
        <v>5042.5787654535998</v>
      </c>
      <c r="L58">
        <v>3931.1821404034999</v>
      </c>
      <c r="M58">
        <v>-0.43314908359999998</v>
      </c>
      <c r="N58">
        <v>23.98</v>
      </c>
      <c r="O58">
        <v>3044.6010000000001</v>
      </c>
      <c r="P58">
        <v>4965.3990000000003</v>
      </c>
      <c r="Q58">
        <f t="shared" si="0"/>
        <v>740.52</v>
      </c>
      <c r="R58">
        <f t="shared" si="1"/>
        <v>0.18489887640449437</v>
      </c>
      <c r="S58">
        <f t="shared" si="2"/>
        <v>74.251008680099858</v>
      </c>
      <c r="T58">
        <f t="shared" si="3"/>
        <v>1.8539577697902588E-2</v>
      </c>
    </row>
    <row r="59" spans="1:20" x14ac:dyDescent="0.3">
      <c r="A59" s="2">
        <v>45931</v>
      </c>
      <c r="B59" t="s">
        <v>19</v>
      </c>
      <c r="C59">
        <v>5095</v>
      </c>
      <c r="E59">
        <v>3029.24</v>
      </c>
      <c r="F59">
        <v>3776.3650097129998</v>
      </c>
      <c r="G59">
        <v>4365.2475000000004</v>
      </c>
      <c r="H59">
        <v>3793.32</v>
      </c>
      <c r="I59">
        <v>3776.3650097129998</v>
      </c>
      <c r="J59">
        <v>2671.1606491134999</v>
      </c>
      <c r="K59">
        <v>4855.5930664478001</v>
      </c>
      <c r="L59">
        <v>3908.4467670426002</v>
      </c>
      <c r="M59">
        <v>-132.08175732960001</v>
      </c>
      <c r="N59">
        <v>23.98</v>
      </c>
      <c r="O59">
        <v>3873.2190000000001</v>
      </c>
      <c r="P59">
        <v>6316.7809999999999</v>
      </c>
      <c r="Q59">
        <f t="shared" si="0"/>
        <v>2065.7600000000002</v>
      </c>
      <c r="R59">
        <f t="shared" si="1"/>
        <v>0.40544847890088326</v>
      </c>
      <c r="S59">
        <f t="shared" si="2"/>
        <v>1318.6349902870002</v>
      </c>
      <c r="T59">
        <f t="shared" si="3"/>
        <v>0.25880961536545638</v>
      </c>
    </row>
    <row r="60" spans="1:20" x14ac:dyDescent="0.3">
      <c r="A60" s="2">
        <v>45962</v>
      </c>
      <c r="B60" t="s">
        <v>19</v>
      </c>
      <c r="C60">
        <v>4081</v>
      </c>
      <c r="E60">
        <v>4105.95</v>
      </c>
      <c r="F60">
        <v>4321.6867221781004</v>
      </c>
      <c r="G60">
        <v>4947.13</v>
      </c>
      <c r="H60">
        <v>5192.1949999999997</v>
      </c>
      <c r="I60">
        <v>4321.6867221781004</v>
      </c>
      <c r="J60">
        <v>3214.3397915436999</v>
      </c>
      <c r="K60">
        <v>5441.4299681745997</v>
      </c>
      <c r="L60">
        <v>3884.9535479030001</v>
      </c>
      <c r="M60">
        <v>436.7331742751</v>
      </c>
      <c r="N60">
        <v>23.98</v>
      </c>
      <c r="O60">
        <v>3102.3762000000002</v>
      </c>
      <c r="P60">
        <v>5059.6238000000003</v>
      </c>
      <c r="Q60">
        <f t="shared" si="0"/>
        <v>-24.949999999999818</v>
      </c>
      <c r="R60">
        <f t="shared" si="1"/>
        <v>-6.1136976231315407E-3</v>
      </c>
      <c r="S60">
        <f t="shared" si="2"/>
        <v>-240.68672217810035</v>
      </c>
      <c r="T60">
        <f t="shared" si="3"/>
        <v>-5.8977388428841059E-2</v>
      </c>
    </row>
    <row r="61" spans="1:20" x14ac:dyDescent="0.3">
      <c r="A61" s="2">
        <v>45992</v>
      </c>
      <c r="B61" t="s">
        <v>19</v>
      </c>
      <c r="C61">
        <v>4724</v>
      </c>
      <c r="E61">
        <v>2702.64</v>
      </c>
      <c r="F61">
        <v>3536.3171958084999</v>
      </c>
      <c r="G61">
        <v>4467.5974999999999</v>
      </c>
      <c r="H61">
        <v>4584.8599999999997</v>
      </c>
      <c r="I61">
        <v>3536.3171958084999</v>
      </c>
      <c r="J61">
        <v>2403.2417108007999</v>
      </c>
      <c r="K61">
        <v>4590.4185984783999</v>
      </c>
      <c r="L61">
        <v>3862.2181745420999</v>
      </c>
      <c r="M61">
        <v>-325.90097873360003</v>
      </c>
      <c r="N61">
        <v>23.98</v>
      </c>
      <c r="O61">
        <v>3591.1848</v>
      </c>
      <c r="P61">
        <v>5856.8152</v>
      </c>
      <c r="Q61">
        <f t="shared" si="0"/>
        <v>2021.3600000000001</v>
      </c>
      <c r="R61">
        <f t="shared" si="1"/>
        <v>0.42789161727349706</v>
      </c>
      <c r="S61">
        <f t="shared" si="2"/>
        <v>1187.6828041915001</v>
      </c>
      <c r="T61">
        <f t="shared" si="3"/>
        <v>0.25141464949015668</v>
      </c>
    </row>
    <row r="62" spans="1:20" x14ac:dyDescent="0.3">
      <c r="A62" s="2">
        <v>45658</v>
      </c>
      <c r="B62" t="s">
        <v>20</v>
      </c>
      <c r="C62">
        <v>5308</v>
      </c>
      <c r="D62">
        <v>6201.98</v>
      </c>
      <c r="E62">
        <v>5237.3599999999997</v>
      </c>
      <c r="F62">
        <v>5384.644089634</v>
      </c>
      <c r="G62">
        <v>6009.076</v>
      </c>
      <c r="H62">
        <v>5719.67</v>
      </c>
      <c r="I62">
        <v>5384.644089634</v>
      </c>
      <c r="J62">
        <v>4393.1450628277998</v>
      </c>
      <c r="K62">
        <v>6393.8124798627996</v>
      </c>
      <c r="L62">
        <v>4928.8575454186002</v>
      </c>
      <c r="M62">
        <v>455.7865442154</v>
      </c>
      <c r="N62">
        <v>12.77</v>
      </c>
      <c r="O62">
        <v>4630.1683999999996</v>
      </c>
      <c r="P62">
        <v>5985.8316000000004</v>
      </c>
      <c r="Q62">
        <f t="shared" si="0"/>
        <v>70.640000000000327</v>
      </c>
      <c r="R62">
        <f t="shared" si="1"/>
        <v>1.330821401657881E-2</v>
      </c>
      <c r="S62">
        <f t="shared" si="2"/>
        <v>-76.644089634000011</v>
      </c>
      <c r="T62">
        <f t="shared" si="3"/>
        <v>-1.4439353736623965E-2</v>
      </c>
    </row>
    <row r="63" spans="1:20" x14ac:dyDescent="0.3">
      <c r="A63" s="2">
        <v>45689</v>
      </c>
      <c r="B63" t="s">
        <v>20</v>
      </c>
      <c r="C63">
        <v>5089</v>
      </c>
      <c r="D63">
        <v>4611.6000000000004</v>
      </c>
      <c r="E63">
        <v>4232.6499999999996</v>
      </c>
      <c r="F63">
        <v>5272.7017075491003</v>
      </c>
      <c r="G63">
        <v>5449.3459999999995</v>
      </c>
      <c r="H63">
        <v>4422.125</v>
      </c>
      <c r="I63">
        <v>5272.7017075491003</v>
      </c>
      <c r="J63">
        <v>4290.8222360115997</v>
      </c>
      <c r="K63">
        <v>6264.5759322820004</v>
      </c>
      <c r="L63">
        <v>4902.5708356153</v>
      </c>
      <c r="M63">
        <v>370.13087193379999</v>
      </c>
      <c r="N63">
        <v>12.77</v>
      </c>
      <c r="O63">
        <v>4439.1346999999996</v>
      </c>
      <c r="P63">
        <v>5738.8652999999986</v>
      </c>
      <c r="Q63">
        <f t="shared" si="0"/>
        <v>856.35000000000036</v>
      </c>
      <c r="R63">
        <f t="shared" si="1"/>
        <v>0.1682747101591669</v>
      </c>
      <c r="S63">
        <f t="shared" si="2"/>
        <v>-183.70170754910032</v>
      </c>
      <c r="T63">
        <f t="shared" si="3"/>
        <v>-3.6097800658105784E-2</v>
      </c>
    </row>
    <row r="64" spans="1:20" x14ac:dyDescent="0.3">
      <c r="A64" s="2">
        <v>45717</v>
      </c>
      <c r="B64" t="s">
        <v>20</v>
      </c>
      <c r="C64">
        <v>6110</v>
      </c>
      <c r="D64">
        <v>5683.76</v>
      </c>
      <c r="E64">
        <v>4033.05</v>
      </c>
      <c r="F64">
        <v>4993.3832692623</v>
      </c>
      <c r="G64">
        <v>5860.7920000000004</v>
      </c>
      <c r="H64">
        <v>4858.4049999999997</v>
      </c>
      <c r="I64">
        <v>4993.3832692623</v>
      </c>
      <c r="J64">
        <v>4022.043459003</v>
      </c>
      <c r="K64">
        <v>6060.6530143988002</v>
      </c>
      <c r="L64">
        <v>4878.8280009542996</v>
      </c>
      <c r="M64">
        <v>114.555268308</v>
      </c>
      <c r="N64">
        <v>12.77</v>
      </c>
      <c r="O64">
        <v>5329.7529999999997</v>
      </c>
      <c r="P64">
        <v>6890.2469999999994</v>
      </c>
      <c r="Q64">
        <f t="shared" si="0"/>
        <v>2076.9499999999998</v>
      </c>
      <c r="R64">
        <f t="shared" si="1"/>
        <v>0.33992635024549916</v>
      </c>
      <c r="S64">
        <f t="shared" si="2"/>
        <v>1116.6167307377</v>
      </c>
      <c r="T64">
        <f t="shared" si="3"/>
        <v>0.18275232908963993</v>
      </c>
    </row>
    <row r="65" spans="1:20" x14ac:dyDescent="0.3">
      <c r="A65" s="2">
        <v>45748</v>
      </c>
      <c r="B65" t="s">
        <v>20</v>
      </c>
      <c r="C65">
        <v>3937</v>
      </c>
      <c r="D65">
        <v>4105.96</v>
      </c>
      <c r="E65">
        <v>4352.43</v>
      </c>
      <c r="F65">
        <v>4471.5690608885998</v>
      </c>
      <c r="G65">
        <v>5078.2700000000004</v>
      </c>
      <c r="H65">
        <v>4229.1949999999997</v>
      </c>
      <c r="I65">
        <v>4471.5690608885998</v>
      </c>
      <c r="J65">
        <v>3462.7971400182</v>
      </c>
      <c r="K65">
        <v>5496.0089965346997</v>
      </c>
      <c r="L65">
        <v>4852.5412911510002</v>
      </c>
      <c r="M65">
        <v>-380.97223026249998</v>
      </c>
      <c r="N65">
        <v>12.77</v>
      </c>
      <c r="O65">
        <v>3434.2451000000001</v>
      </c>
      <c r="P65">
        <v>4439.7548999999999</v>
      </c>
      <c r="Q65">
        <f t="shared" si="0"/>
        <v>-415.43000000000029</v>
      </c>
      <c r="R65">
        <f t="shared" si="1"/>
        <v>-0.10551943103886215</v>
      </c>
      <c r="S65">
        <f t="shared" si="2"/>
        <v>-534.56906088859978</v>
      </c>
      <c r="T65">
        <f t="shared" si="3"/>
        <v>-0.13578081302733039</v>
      </c>
    </row>
    <row r="66" spans="1:20" x14ac:dyDescent="0.3">
      <c r="A66" s="2">
        <v>45778</v>
      </c>
      <c r="B66" t="s">
        <v>20</v>
      </c>
      <c r="C66">
        <v>4074</v>
      </c>
      <c r="D66">
        <v>4008.54</v>
      </c>
      <c r="E66">
        <v>6600.74</v>
      </c>
      <c r="F66">
        <v>5014.2406276307001</v>
      </c>
      <c r="G66">
        <v>5632.3819999999996</v>
      </c>
      <c r="H66">
        <v>5304.64</v>
      </c>
      <c r="I66">
        <v>5014.2406276307001</v>
      </c>
      <c r="J66">
        <v>4049.6121990216998</v>
      </c>
      <c r="K66">
        <v>6001.2102086785999</v>
      </c>
      <c r="L66">
        <v>4827.1025397285002</v>
      </c>
      <c r="M66">
        <v>187.1380879022</v>
      </c>
      <c r="N66">
        <v>12.77</v>
      </c>
      <c r="O66">
        <v>3553.7501999999999</v>
      </c>
      <c r="P66">
        <v>4594.2497999999996</v>
      </c>
      <c r="Q66">
        <f t="shared" si="0"/>
        <v>-2526.7399999999998</v>
      </c>
      <c r="R66">
        <f t="shared" si="1"/>
        <v>-0.62021109474717717</v>
      </c>
      <c r="S66">
        <f t="shared" si="2"/>
        <v>-940.24062763070015</v>
      </c>
      <c r="T66">
        <f t="shared" si="3"/>
        <v>-0.23079053206448211</v>
      </c>
    </row>
    <row r="67" spans="1:20" x14ac:dyDescent="0.3">
      <c r="A67" s="2">
        <v>45809</v>
      </c>
      <c r="B67" t="s">
        <v>20</v>
      </c>
      <c r="C67">
        <v>3876</v>
      </c>
      <c r="D67">
        <v>2981.73</v>
      </c>
      <c r="E67">
        <v>4972.21</v>
      </c>
      <c r="F67">
        <v>4138.7590278623002</v>
      </c>
      <c r="G67">
        <v>4699.6000000000004</v>
      </c>
      <c r="H67">
        <v>3976.97</v>
      </c>
      <c r="I67">
        <v>4138.7590278623002</v>
      </c>
      <c r="J67">
        <v>3148.6862870771001</v>
      </c>
      <c r="K67">
        <v>5079.0374318765998</v>
      </c>
      <c r="L67">
        <v>4800.8158299252</v>
      </c>
      <c r="M67">
        <v>-662.05680206290003</v>
      </c>
      <c r="N67">
        <v>12.77</v>
      </c>
      <c r="O67">
        <v>3381.0347999999999</v>
      </c>
      <c r="P67">
        <v>4370.9651999999996</v>
      </c>
      <c r="Q67">
        <f t="shared" ref="Q67:Q130" si="4">C67-E67</f>
        <v>-1096.21</v>
      </c>
      <c r="R67">
        <f t="shared" ref="R67:R130" si="5">(C67-E67)/C67</f>
        <v>-0.28281991744066048</v>
      </c>
      <c r="S67">
        <f t="shared" ref="S67:S130" si="6">C67-F67</f>
        <v>-262.75902786230017</v>
      </c>
      <c r="T67">
        <f t="shared" ref="T67:T130" si="7">(C67-F67)/C67</f>
        <v>-6.7791286858178576E-2</v>
      </c>
    </row>
    <row r="68" spans="1:20" x14ac:dyDescent="0.3">
      <c r="A68" s="2">
        <v>45839</v>
      </c>
      <c r="B68" t="s">
        <v>20</v>
      </c>
      <c r="C68">
        <v>5292</v>
      </c>
      <c r="D68">
        <v>7208.04</v>
      </c>
      <c r="E68">
        <v>5136.57</v>
      </c>
      <c r="F68">
        <v>6027.8350098102001</v>
      </c>
      <c r="G68">
        <v>6536.1660000000002</v>
      </c>
      <c r="H68">
        <v>6172.3050000000003</v>
      </c>
      <c r="I68">
        <v>6027.8350098102001</v>
      </c>
      <c r="J68">
        <v>4987.5715705248003</v>
      </c>
      <c r="K68">
        <v>6923.8171870579999</v>
      </c>
      <c r="L68">
        <v>4775.3770785027</v>
      </c>
      <c r="M68">
        <v>1252.4579313075999</v>
      </c>
      <c r="N68">
        <v>12.77</v>
      </c>
      <c r="O68">
        <v>4616.2115999999996</v>
      </c>
      <c r="P68">
        <v>5967.7883999999985</v>
      </c>
      <c r="Q68">
        <f t="shared" si="4"/>
        <v>155.43000000000029</v>
      </c>
      <c r="R68">
        <f t="shared" si="5"/>
        <v>2.9370748299319783E-2</v>
      </c>
      <c r="S68">
        <f t="shared" si="6"/>
        <v>-735.83500981020006</v>
      </c>
      <c r="T68">
        <f t="shared" si="7"/>
        <v>-0.13904667607902496</v>
      </c>
    </row>
    <row r="69" spans="1:20" x14ac:dyDescent="0.3">
      <c r="A69" s="2">
        <v>45870</v>
      </c>
      <c r="B69" t="s">
        <v>20</v>
      </c>
      <c r="C69">
        <v>5234</v>
      </c>
      <c r="D69">
        <v>4893.99</v>
      </c>
      <c r="E69">
        <v>5317.49</v>
      </c>
      <c r="F69">
        <v>4871.9096623133</v>
      </c>
      <c r="G69">
        <v>5461.7619999999997</v>
      </c>
      <c r="H69">
        <v>5105.74</v>
      </c>
      <c r="I69">
        <v>4871.9096623133</v>
      </c>
      <c r="J69">
        <v>3832.6126420431001</v>
      </c>
      <c r="K69">
        <v>5967.2806620438996</v>
      </c>
      <c r="L69">
        <v>4749.0903686993997</v>
      </c>
      <c r="M69">
        <v>122.8192936139</v>
      </c>
      <c r="N69">
        <v>12.77</v>
      </c>
      <c r="O69">
        <v>4565.6181999999999</v>
      </c>
      <c r="P69">
        <v>5902.3817999999992</v>
      </c>
      <c r="Q69">
        <f t="shared" si="4"/>
        <v>-83.489999999999782</v>
      </c>
      <c r="R69">
        <f t="shared" si="5"/>
        <v>-1.5951471150171911E-2</v>
      </c>
      <c r="S69">
        <f t="shared" si="6"/>
        <v>362.09033768669997</v>
      </c>
      <c r="T69">
        <f t="shared" si="7"/>
        <v>6.9180423707814284E-2</v>
      </c>
    </row>
    <row r="70" spans="1:20" x14ac:dyDescent="0.3">
      <c r="A70" s="2">
        <v>45901</v>
      </c>
      <c r="B70" t="s">
        <v>20</v>
      </c>
      <c r="C70">
        <v>4743</v>
      </c>
      <c r="D70">
        <v>4097.38</v>
      </c>
      <c r="E70">
        <v>4374.29</v>
      </c>
      <c r="F70">
        <v>3781.1034549719998</v>
      </c>
      <c r="G70">
        <v>4580.8459999999995</v>
      </c>
      <c r="H70">
        <v>4235.835</v>
      </c>
      <c r="I70">
        <v>3781.1034549719998</v>
      </c>
      <c r="J70">
        <v>2763.5777405954</v>
      </c>
      <c r="K70">
        <v>4807.5070950946001</v>
      </c>
      <c r="L70">
        <v>4722.8036588961004</v>
      </c>
      <c r="M70">
        <v>-941.70020392410004</v>
      </c>
      <c r="N70">
        <v>12.77</v>
      </c>
      <c r="O70">
        <v>4137.3189000000002</v>
      </c>
      <c r="P70">
        <v>5348.6810999999998</v>
      </c>
      <c r="Q70">
        <f t="shared" si="4"/>
        <v>368.71000000000004</v>
      </c>
      <c r="R70">
        <f t="shared" si="5"/>
        <v>7.7737718743411358E-2</v>
      </c>
      <c r="S70">
        <f t="shared" si="6"/>
        <v>961.89654502800022</v>
      </c>
      <c r="T70">
        <f t="shared" si="7"/>
        <v>0.20280340396963953</v>
      </c>
    </row>
    <row r="71" spans="1:20" x14ac:dyDescent="0.3">
      <c r="A71" s="2">
        <v>45931</v>
      </c>
      <c r="B71" t="s">
        <v>20</v>
      </c>
      <c r="C71">
        <v>5408</v>
      </c>
      <c r="E71">
        <v>7570</v>
      </c>
      <c r="F71">
        <v>6042.5748656471997</v>
      </c>
      <c r="G71">
        <v>6753.1724999999997</v>
      </c>
      <c r="H71">
        <v>6733.87</v>
      </c>
      <c r="I71">
        <v>6042.5748656471997</v>
      </c>
      <c r="J71">
        <v>5015.0546987308999</v>
      </c>
      <c r="K71">
        <v>7007.0900860406</v>
      </c>
      <c r="L71">
        <v>4697.3649074736004</v>
      </c>
      <c r="M71">
        <v>1345.2099581737</v>
      </c>
      <c r="N71">
        <v>12.77</v>
      </c>
      <c r="O71">
        <v>4717.3984</v>
      </c>
      <c r="P71">
        <v>6098.6016</v>
      </c>
      <c r="Q71">
        <f t="shared" si="4"/>
        <v>-2162</v>
      </c>
      <c r="R71">
        <f t="shared" si="5"/>
        <v>-0.39977810650887574</v>
      </c>
      <c r="S71">
        <f t="shared" si="6"/>
        <v>-634.57486564719966</v>
      </c>
      <c r="T71">
        <f t="shared" si="7"/>
        <v>-0.11734002693180468</v>
      </c>
    </row>
    <row r="72" spans="1:20" x14ac:dyDescent="0.3">
      <c r="A72" s="2">
        <v>45962</v>
      </c>
      <c r="B72" t="s">
        <v>20</v>
      </c>
      <c r="C72">
        <v>4613</v>
      </c>
      <c r="E72">
        <v>5053.8900000000003</v>
      </c>
      <c r="F72">
        <v>4619.7770052713004</v>
      </c>
      <c r="G72">
        <v>5637.3824999999997</v>
      </c>
      <c r="H72">
        <v>5252.86</v>
      </c>
      <c r="I72">
        <v>4619.7770052713004</v>
      </c>
      <c r="J72">
        <v>3585.6843238785</v>
      </c>
      <c r="K72">
        <v>5639.2684507655003</v>
      </c>
      <c r="L72">
        <v>4671.0781976703001</v>
      </c>
      <c r="M72">
        <v>-51.3011923989</v>
      </c>
      <c r="N72">
        <v>12.77</v>
      </c>
      <c r="O72">
        <v>4023.9198999999999</v>
      </c>
      <c r="P72">
        <v>5202.0800999999992</v>
      </c>
      <c r="Q72">
        <f t="shared" si="4"/>
        <v>-440.89000000000033</v>
      </c>
      <c r="R72">
        <f t="shared" si="5"/>
        <v>-9.5575547366139241E-2</v>
      </c>
      <c r="S72">
        <f t="shared" si="6"/>
        <v>-6.7770052713003679</v>
      </c>
      <c r="T72">
        <f t="shared" si="7"/>
        <v>-1.4691101823759739E-3</v>
      </c>
    </row>
    <row r="73" spans="1:20" x14ac:dyDescent="0.3">
      <c r="A73" s="2">
        <v>45992</v>
      </c>
      <c r="B73" t="s">
        <v>20</v>
      </c>
      <c r="C73">
        <v>3870</v>
      </c>
      <c r="E73">
        <v>7068.6</v>
      </c>
      <c r="F73">
        <v>4671.9133414143998</v>
      </c>
      <c r="G73">
        <v>5144.18</v>
      </c>
      <c r="H73">
        <v>5251.5349999999999</v>
      </c>
      <c r="I73">
        <v>4671.9133414143998</v>
      </c>
      <c r="J73">
        <v>3677.3163119817</v>
      </c>
      <c r="K73">
        <v>5624.8730552594998</v>
      </c>
      <c r="L73">
        <v>4645.6394462477001</v>
      </c>
      <c r="M73">
        <v>26.273895166599999</v>
      </c>
      <c r="N73">
        <v>12.77</v>
      </c>
      <c r="O73">
        <v>3375.8009999999999</v>
      </c>
      <c r="P73">
        <v>4364.1989999999996</v>
      </c>
      <c r="Q73">
        <f t="shared" si="4"/>
        <v>-3198.6000000000004</v>
      </c>
      <c r="R73">
        <f t="shared" si="5"/>
        <v>-0.82651162790697685</v>
      </c>
      <c r="S73">
        <f t="shared" si="6"/>
        <v>-801.91334141439984</v>
      </c>
      <c r="T73">
        <f t="shared" si="7"/>
        <v>-0.20721274971948317</v>
      </c>
    </row>
    <row r="74" spans="1:20" x14ac:dyDescent="0.3">
      <c r="A74" s="2">
        <v>45658</v>
      </c>
      <c r="B74" t="s">
        <v>21</v>
      </c>
      <c r="C74">
        <v>4225</v>
      </c>
      <c r="D74">
        <v>4316.51</v>
      </c>
      <c r="E74">
        <v>6083.42</v>
      </c>
      <c r="F74">
        <v>3867.9414140060999</v>
      </c>
      <c r="G74">
        <v>4097.0479999999998</v>
      </c>
      <c r="H74">
        <v>5199.9650000000001</v>
      </c>
      <c r="I74">
        <v>3867.9414140060999</v>
      </c>
      <c r="J74">
        <v>2931.6107371236999</v>
      </c>
      <c r="K74">
        <v>4711.474391148</v>
      </c>
      <c r="L74">
        <v>3840.6026571635002</v>
      </c>
      <c r="M74">
        <v>27.338756842599999</v>
      </c>
      <c r="N74">
        <v>11.4</v>
      </c>
      <c r="O74">
        <v>3743.35</v>
      </c>
      <c r="P74">
        <v>4706.6500000000005</v>
      </c>
      <c r="Q74">
        <f t="shared" si="4"/>
        <v>-1858.42</v>
      </c>
      <c r="R74">
        <f t="shared" si="5"/>
        <v>-0.43986272189349113</v>
      </c>
      <c r="S74">
        <f t="shared" si="6"/>
        <v>357.05858599390012</v>
      </c>
      <c r="T74">
        <f t="shared" si="7"/>
        <v>8.4510907927550324E-2</v>
      </c>
    </row>
    <row r="75" spans="1:20" x14ac:dyDescent="0.3">
      <c r="A75" s="2">
        <v>45689</v>
      </c>
      <c r="B75" t="s">
        <v>21</v>
      </c>
      <c r="C75">
        <v>4547</v>
      </c>
      <c r="D75">
        <v>5007.51</v>
      </c>
      <c r="E75">
        <v>5226.53</v>
      </c>
      <c r="F75">
        <v>4348.7695993395</v>
      </c>
      <c r="G75">
        <v>3980.77</v>
      </c>
      <c r="H75">
        <v>5117.0200000000004</v>
      </c>
      <c r="I75">
        <v>4348.7695993395</v>
      </c>
      <c r="J75">
        <v>3459.5638571437999</v>
      </c>
      <c r="K75">
        <v>5227.8248122609002</v>
      </c>
      <c r="L75">
        <v>3845.9314761648998</v>
      </c>
      <c r="M75">
        <v>502.83812317460001</v>
      </c>
      <c r="N75">
        <v>11.4</v>
      </c>
      <c r="O75">
        <v>4028.6419999999998</v>
      </c>
      <c r="P75">
        <v>5065.3580000000002</v>
      </c>
      <c r="Q75">
        <f t="shared" si="4"/>
        <v>-679.52999999999975</v>
      </c>
      <c r="R75">
        <f t="shared" si="5"/>
        <v>-0.1494457884319331</v>
      </c>
      <c r="S75">
        <f t="shared" si="6"/>
        <v>198.23040066049998</v>
      </c>
      <c r="T75">
        <f t="shared" si="7"/>
        <v>4.3595865551022649E-2</v>
      </c>
    </row>
    <row r="76" spans="1:20" x14ac:dyDescent="0.3">
      <c r="A76" s="2">
        <v>45717</v>
      </c>
      <c r="B76" t="s">
        <v>21</v>
      </c>
      <c r="C76">
        <v>4936</v>
      </c>
      <c r="D76">
        <v>5113.3100000000004</v>
      </c>
      <c r="E76">
        <v>3960.39</v>
      </c>
      <c r="F76">
        <v>4771.9222075160997</v>
      </c>
      <c r="G76">
        <v>4551.692</v>
      </c>
      <c r="H76">
        <v>4536.8500000000004</v>
      </c>
      <c r="I76">
        <v>4771.9222075160997</v>
      </c>
      <c r="J76">
        <v>3921.4140850196</v>
      </c>
      <c r="K76">
        <v>5619.7094166016996</v>
      </c>
      <c r="L76">
        <v>3850.7446030049</v>
      </c>
      <c r="M76">
        <v>921.1776045112</v>
      </c>
      <c r="N76">
        <v>11.4</v>
      </c>
      <c r="O76">
        <v>4373.2960000000003</v>
      </c>
      <c r="P76">
        <v>5498.7040000000006</v>
      </c>
      <c r="Q76">
        <f t="shared" si="4"/>
        <v>975.61000000000013</v>
      </c>
      <c r="R76">
        <f t="shared" si="5"/>
        <v>0.19765194489465157</v>
      </c>
      <c r="S76">
        <f t="shared" si="6"/>
        <v>164.07779248390034</v>
      </c>
      <c r="T76">
        <f t="shared" si="7"/>
        <v>3.3241043858164572E-2</v>
      </c>
    </row>
    <row r="77" spans="1:20" x14ac:dyDescent="0.3">
      <c r="A77" s="2">
        <v>45748</v>
      </c>
      <c r="B77" t="s">
        <v>21</v>
      </c>
      <c r="C77">
        <v>3612</v>
      </c>
      <c r="D77">
        <v>4067.63</v>
      </c>
      <c r="E77">
        <v>2837.54</v>
      </c>
      <c r="F77">
        <v>3689.6764016737998</v>
      </c>
      <c r="G77">
        <v>3496.422</v>
      </c>
      <c r="H77">
        <v>3452.585</v>
      </c>
      <c r="I77">
        <v>3689.6764016737998</v>
      </c>
      <c r="J77">
        <v>2818.3743521346</v>
      </c>
      <c r="K77">
        <v>4533.8197710511004</v>
      </c>
      <c r="L77">
        <v>3856.0734220063</v>
      </c>
      <c r="M77">
        <v>-166.39702033250001</v>
      </c>
      <c r="N77">
        <v>11.4</v>
      </c>
      <c r="O77">
        <v>3200.232</v>
      </c>
      <c r="P77">
        <v>4023.768</v>
      </c>
      <c r="Q77">
        <f t="shared" si="4"/>
        <v>774.46</v>
      </c>
      <c r="R77">
        <f t="shared" si="5"/>
        <v>0.21441306755260245</v>
      </c>
      <c r="S77">
        <f t="shared" si="6"/>
        <v>-77.676401673799774</v>
      </c>
      <c r="T77">
        <f t="shared" si="7"/>
        <v>-2.1505094594075243E-2</v>
      </c>
    </row>
    <row r="78" spans="1:20" x14ac:dyDescent="0.3">
      <c r="A78" s="2">
        <v>45778</v>
      </c>
      <c r="B78" t="s">
        <v>21</v>
      </c>
      <c r="C78">
        <v>4038</v>
      </c>
      <c r="D78">
        <v>4452.4399999999996</v>
      </c>
      <c r="E78">
        <v>3855.36</v>
      </c>
      <c r="F78">
        <v>4565.0605901762001</v>
      </c>
      <c r="G78">
        <v>4675.8119999999999</v>
      </c>
      <c r="H78">
        <v>4153.8999999999996</v>
      </c>
      <c r="I78">
        <v>4565.0605901762001</v>
      </c>
      <c r="J78">
        <v>3714.5563002645999</v>
      </c>
      <c r="K78">
        <v>5537.7824257254997</v>
      </c>
      <c r="L78">
        <v>3861.2303436205998</v>
      </c>
      <c r="M78">
        <v>703.83024655559996</v>
      </c>
      <c r="N78">
        <v>11.4</v>
      </c>
      <c r="O78">
        <v>3577.6680000000001</v>
      </c>
      <c r="P78">
        <v>4498.3320000000003</v>
      </c>
      <c r="Q78">
        <f t="shared" si="4"/>
        <v>182.63999999999987</v>
      </c>
      <c r="R78">
        <f t="shared" si="5"/>
        <v>4.5230312035661184E-2</v>
      </c>
      <c r="S78">
        <f t="shared" si="6"/>
        <v>-527.06059017620009</v>
      </c>
      <c r="T78">
        <f t="shared" si="7"/>
        <v>-0.13052515853793958</v>
      </c>
    </row>
    <row r="79" spans="1:20" x14ac:dyDescent="0.3">
      <c r="A79" s="2">
        <v>45809</v>
      </c>
      <c r="B79" t="s">
        <v>21</v>
      </c>
      <c r="C79">
        <v>3867</v>
      </c>
      <c r="D79">
        <v>4339.33</v>
      </c>
      <c r="E79">
        <v>4742.99</v>
      </c>
      <c r="F79">
        <v>4380.2732174202001</v>
      </c>
      <c r="G79">
        <v>4274.0940000000001</v>
      </c>
      <c r="H79">
        <v>4541.16</v>
      </c>
      <c r="I79">
        <v>4380.2732174202001</v>
      </c>
      <c r="J79">
        <v>3447.3435309609999</v>
      </c>
      <c r="K79">
        <v>5285.9688777951997</v>
      </c>
      <c r="L79">
        <v>3866.5591626219998</v>
      </c>
      <c r="M79">
        <v>513.71405479819998</v>
      </c>
      <c r="N79">
        <v>11.4</v>
      </c>
      <c r="O79">
        <v>3426.1619999999998</v>
      </c>
      <c r="P79">
        <v>4307.8380000000006</v>
      </c>
      <c r="Q79">
        <f t="shared" si="4"/>
        <v>-875.98999999999978</v>
      </c>
      <c r="R79">
        <f t="shared" si="5"/>
        <v>-0.22652960951642095</v>
      </c>
      <c r="S79">
        <f t="shared" si="6"/>
        <v>-513.27321742020013</v>
      </c>
      <c r="T79">
        <f t="shared" si="7"/>
        <v>-0.132731631088751</v>
      </c>
    </row>
    <row r="80" spans="1:20" x14ac:dyDescent="0.3">
      <c r="A80" s="2">
        <v>45839</v>
      </c>
      <c r="B80" t="s">
        <v>21</v>
      </c>
      <c r="C80">
        <v>3409</v>
      </c>
      <c r="D80">
        <v>3279.62</v>
      </c>
      <c r="E80">
        <v>3149.32</v>
      </c>
      <c r="F80">
        <v>3737.5609790120998</v>
      </c>
      <c r="G80">
        <v>3569.58</v>
      </c>
      <c r="H80">
        <v>3214.47</v>
      </c>
      <c r="I80">
        <v>3737.5609790120998</v>
      </c>
      <c r="J80">
        <v>2867.9161872553</v>
      </c>
      <c r="K80">
        <v>4654.1930055261</v>
      </c>
      <c r="L80">
        <v>3871.7160842362</v>
      </c>
      <c r="M80">
        <v>-134.15510522420001</v>
      </c>
      <c r="N80">
        <v>11.4</v>
      </c>
      <c r="O80">
        <v>3020.3739999999998</v>
      </c>
      <c r="P80">
        <v>3797.6260000000002</v>
      </c>
      <c r="Q80">
        <f t="shared" si="4"/>
        <v>259.67999999999984</v>
      </c>
      <c r="R80">
        <f t="shared" si="5"/>
        <v>7.6174831328835388E-2</v>
      </c>
      <c r="S80">
        <f t="shared" si="6"/>
        <v>-328.56097901209978</v>
      </c>
      <c r="T80">
        <f t="shared" si="7"/>
        <v>-9.6380457322411198E-2</v>
      </c>
    </row>
    <row r="81" spans="1:20" x14ac:dyDescent="0.3">
      <c r="A81" s="2">
        <v>45870</v>
      </c>
      <c r="B81" t="s">
        <v>21</v>
      </c>
      <c r="C81">
        <v>3674</v>
      </c>
      <c r="D81">
        <v>4374.49</v>
      </c>
      <c r="E81">
        <v>3517.6</v>
      </c>
      <c r="F81">
        <v>3829.0567460705001</v>
      </c>
      <c r="G81">
        <v>3615.402</v>
      </c>
      <c r="H81">
        <v>3946.0450000000001</v>
      </c>
      <c r="I81">
        <v>3829.0567460705001</v>
      </c>
      <c r="J81">
        <v>2834.0791633212002</v>
      </c>
      <c r="K81">
        <v>4797.0909393300999</v>
      </c>
      <c r="L81">
        <v>3877.0449032377001</v>
      </c>
      <c r="M81">
        <v>-47.988157167200001</v>
      </c>
      <c r="N81">
        <v>11.4</v>
      </c>
      <c r="O81">
        <v>3255.1640000000002</v>
      </c>
      <c r="P81">
        <v>4092.8359999999998</v>
      </c>
      <c r="Q81">
        <f t="shared" si="4"/>
        <v>156.40000000000009</v>
      </c>
      <c r="R81">
        <f t="shared" si="5"/>
        <v>4.2569406641262957E-2</v>
      </c>
      <c r="S81">
        <f t="shared" si="6"/>
        <v>-155.05674607050014</v>
      </c>
      <c r="T81">
        <f t="shared" si="7"/>
        <v>-4.2203795882008746E-2</v>
      </c>
    </row>
    <row r="82" spans="1:20" x14ac:dyDescent="0.3">
      <c r="A82" s="2">
        <v>45901</v>
      </c>
      <c r="B82" t="s">
        <v>21</v>
      </c>
      <c r="C82">
        <v>3552</v>
      </c>
      <c r="D82">
        <v>3424.35</v>
      </c>
      <c r="E82">
        <v>3145.41</v>
      </c>
      <c r="F82">
        <v>3797.5380184593</v>
      </c>
      <c r="G82">
        <v>3587.0279999999998</v>
      </c>
      <c r="H82">
        <v>3284.88</v>
      </c>
      <c r="I82">
        <v>3797.5380184593</v>
      </c>
      <c r="J82">
        <v>2943.6448493671001</v>
      </c>
      <c r="K82">
        <v>4747.2738948163997</v>
      </c>
      <c r="L82">
        <v>3882.3737222391001</v>
      </c>
      <c r="M82">
        <v>-84.835703779699998</v>
      </c>
      <c r="N82">
        <v>11.4</v>
      </c>
      <c r="O82">
        <v>3147.0720000000001</v>
      </c>
      <c r="P82">
        <v>3956.9279999999999</v>
      </c>
      <c r="Q82">
        <f t="shared" si="4"/>
        <v>406.59000000000015</v>
      </c>
      <c r="R82">
        <f t="shared" si="5"/>
        <v>0.11446790540540544</v>
      </c>
      <c r="S82">
        <f t="shared" si="6"/>
        <v>-245.53801845930002</v>
      </c>
      <c r="T82">
        <f t="shared" si="7"/>
        <v>-6.9126694386064197E-2</v>
      </c>
    </row>
    <row r="83" spans="1:20" x14ac:dyDescent="0.3">
      <c r="A83" s="2">
        <v>45931</v>
      </c>
      <c r="B83" t="s">
        <v>21</v>
      </c>
      <c r="C83">
        <v>3388</v>
      </c>
      <c r="E83">
        <v>2339.1799999999998</v>
      </c>
      <c r="F83">
        <v>2783.8610880223</v>
      </c>
      <c r="G83">
        <v>2759.0124999999998</v>
      </c>
      <c r="H83">
        <v>3103.69</v>
      </c>
      <c r="I83">
        <v>2783.8610880223</v>
      </c>
      <c r="J83">
        <v>1847.0780015388</v>
      </c>
      <c r="K83">
        <v>3639.3169392235</v>
      </c>
      <c r="L83">
        <v>3887.5306438533999</v>
      </c>
      <c r="M83">
        <v>-1103.669555831</v>
      </c>
      <c r="N83">
        <v>11.4</v>
      </c>
      <c r="O83">
        <v>3001.768</v>
      </c>
      <c r="P83">
        <v>3774.232</v>
      </c>
      <c r="Q83">
        <f t="shared" si="4"/>
        <v>1048.8200000000002</v>
      </c>
      <c r="R83">
        <f t="shared" si="5"/>
        <v>0.30956906729634009</v>
      </c>
      <c r="S83">
        <f t="shared" si="6"/>
        <v>604.13891197769999</v>
      </c>
      <c r="T83">
        <f t="shared" si="7"/>
        <v>0.17831727035941558</v>
      </c>
    </row>
    <row r="84" spans="1:20" x14ac:dyDescent="0.3">
      <c r="A84" s="2">
        <v>45962</v>
      </c>
      <c r="B84" t="s">
        <v>21</v>
      </c>
      <c r="C84">
        <v>3858</v>
      </c>
      <c r="E84">
        <v>2586.13</v>
      </c>
      <c r="F84">
        <v>3582.7591668937998</v>
      </c>
      <c r="G84">
        <v>3416.7049999999999</v>
      </c>
      <c r="H84">
        <v>3056.01</v>
      </c>
      <c r="I84">
        <v>3582.7591668937998</v>
      </c>
      <c r="J84">
        <v>2742.7047763607002</v>
      </c>
      <c r="K84">
        <v>4448.0548910669004</v>
      </c>
      <c r="L84">
        <v>3892.8594628547999</v>
      </c>
      <c r="M84">
        <v>-310.10029596089998</v>
      </c>
      <c r="N84">
        <v>11.4</v>
      </c>
      <c r="O84">
        <v>3418.1880000000001</v>
      </c>
      <c r="P84">
        <v>4297.8120000000008</v>
      </c>
      <c r="Q84">
        <f t="shared" si="4"/>
        <v>1271.8699999999999</v>
      </c>
      <c r="R84">
        <f t="shared" si="5"/>
        <v>0.3296708138932089</v>
      </c>
      <c r="S84">
        <f t="shared" si="6"/>
        <v>275.24083310620017</v>
      </c>
      <c r="T84">
        <f t="shared" si="7"/>
        <v>7.1342880535562508E-2</v>
      </c>
    </row>
    <row r="85" spans="1:20" x14ac:dyDescent="0.3">
      <c r="A85" s="2">
        <v>45992</v>
      </c>
      <c r="B85" t="s">
        <v>21</v>
      </c>
      <c r="C85">
        <v>4704</v>
      </c>
      <c r="E85">
        <v>2742.57</v>
      </c>
      <c r="F85">
        <v>4047.7454583620001</v>
      </c>
      <c r="G85">
        <v>3911.8674999999998</v>
      </c>
      <c r="H85">
        <v>3315.72</v>
      </c>
      <c r="I85">
        <v>4047.7454583620001</v>
      </c>
      <c r="J85">
        <v>3178.5579647828999</v>
      </c>
      <c r="K85">
        <v>4927.5755215198997</v>
      </c>
      <c r="L85">
        <v>3898.0163844690001</v>
      </c>
      <c r="M85">
        <v>149.72907389299999</v>
      </c>
      <c r="N85">
        <v>11.4</v>
      </c>
      <c r="O85">
        <v>4167.7439999999997</v>
      </c>
      <c r="P85">
        <v>5240.2560000000003</v>
      </c>
      <c r="Q85">
        <f t="shared" si="4"/>
        <v>1961.4299999999998</v>
      </c>
      <c r="R85">
        <f t="shared" si="5"/>
        <v>0.41697066326530607</v>
      </c>
      <c r="S85">
        <f t="shared" si="6"/>
        <v>656.25454163799986</v>
      </c>
      <c r="T85">
        <f t="shared" si="7"/>
        <v>0.13950989405569725</v>
      </c>
    </row>
    <row r="86" spans="1:20" x14ac:dyDescent="0.3">
      <c r="A86" s="2">
        <v>45658</v>
      </c>
      <c r="B86" t="s">
        <v>22</v>
      </c>
      <c r="C86">
        <v>4514</v>
      </c>
      <c r="D86">
        <v>4516.87</v>
      </c>
      <c r="E86">
        <v>4147.3100000000004</v>
      </c>
      <c r="F86">
        <v>4010.8865233936999</v>
      </c>
      <c r="G86">
        <v>3992.444</v>
      </c>
      <c r="H86">
        <v>4332.09</v>
      </c>
      <c r="I86">
        <v>4010.8865233936999</v>
      </c>
      <c r="J86">
        <v>2959.9597029432002</v>
      </c>
      <c r="K86">
        <v>5004.2550098185002</v>
      </c>
      <c r="L86">
        <v>4029.7868879537</v>
      </c>
      <c r="M86">
        <v>-18.90036456</v>
      </c>
      <c r="N86">
        <v>8.61</v>
      </c>
      <c r="O86">
        <v>4125.3446000000004</v>
      </c>
      <c r="P86">
        <v>4902.6554000000006</v>
      </c>
      <c r="Q86">
        <f t="shared" si="4"/>
        <v>366.6899999999996</v>
      </c>
      <c r="R86">
        <f t="shared" si="5"/>
        <v>8.1233938856889593E-2</v>
      </c>
      <c r="S86">
        <f t="shared" si="6"/>
        <v>503.11347660630008</v>
      </c>
      <c r="T86">
        <f t="shared" si="7"/>
        <v>0.11145624204836067</v>
      </c>
    </row>
    <row r="87" spans="1:20" x14ac:dyDescent="0.3">
      <c r="A87" s="2">
        <v>45689</v>
      </c>
      <c r="B87" t="s">
        <v>22</v>
      </c>
      <c r="C87">
        <v>3000</v>
      </c>
      <c r="D87">
        <v>3260.55</v>
      </c>
      <c r="E87">
        <v>4766.5200000000004</v>
      </c>
      <c r="F87">
        <v>3344.9379538093999</v>
      </c>
      <c r="G87">
        <v>3714.672</v>
      </c>
      <c r="H87">
        <v>4013.5349999999999</v>
      </c>
      <c r="I87">
        <v>3344.9379538093999</v>
      </c>
      <c r="J87">
        <v>2322.5788222260999</v>
      </c>
      <c r="K87">
        <v>4364.1964189426999</v>
      </c>
      <c r="L87">
        <v>4027.4001121843999</v>
      </c>
      <c r="M87">
        <v>-682.46215837499994</v>
      </c>
      <c r="N87">
        <v>8.61</v>
      </c>
      <c r="O87">
        <v>2741.7</v>
      </c>
      <c r="P87">
        <v>3258.3</v>
      </c>
      <c r="Q87">
        <f t="shared" si="4"/>
        <v>-1766.5200000000004</v>
      </c>
      <c r="R87">
        <f t="shared" si="5"/>
        <v>-0.58884000000000014</v>
      </c>
      <c r="S87">
        <f t="shared" si="6"/>
        <v>-344.93795380939991</v>
      </c>
      <c r="T87">
        <f t="shared" si="7"/>
        <v>-0.11497931793646664</v>
      </c>
    </row>
    <row r="88" spans="1:20" x14ac:dyDescent="0.3">
      <c r="A88" s="2">
        <v>45717</v>
      </c>
      <c r="B88" t="s">
        <v>22</v>
      </c>
      <c r="C88">
        <v>4867</v>
      </c>
      <c r="D88">
        <v>4696.68</v>
      </c>
      <c r="E88">
        <v>3361.93</v>
      </c>
      <c r="F88">
        <v>3958.0408707519</v>
      </c>
      <c r="G88">
        <v>3993.5859999999998</v>
      </c>
      <c r="H88">
        <v>4029.3049999999998</v>
      </c>
      <c r="I88">
        <v>3958.0408707519</v>
      </c>
      <c r="J88">
        <v>2945.6639259026001</v>
      </c>
      <c r="K88">
        <v>4973.1702996186004</v>
      </c>
      <c r="L88">
        <v>4025.2443147153999</v>
      </c>
      <c r="M88">
        <v>-67.203443963500007</v>
      </c>
      <c r="N88">
        <v>8.61</v>
      </c>
      <c r="O88">
        <v>4447.9513000000006</v>
      </c>
      <c r="P88">
        <v>5286.0487000000003</v>
      </c>
      <c r="Q88">
        <f t="shared" si="4"/>
        <v>1505.0700000000002</v>
      </c>
      <c r="R88">
        <f t="shared" si="5"/>
        <v>0.30923977809739062</v>
      </c>
      <c r="S88">
        <f t="shared" si="6"/>
        <v>908.9591292481</v>
      </c>
      <c r="T88">
        <f t="shared" si="7"/>
        <v>0.18675963206248203</v>
      </c>
    </row>
    <row r="89" spans="1:20" x14ac:dyDescent="0.3">
      <c r="A89" s="2">
        <v>45748</v>
      </c>
      <c r="B89" t="s">
        <v>22</v>
      </c>
      <c r="C89">
        <v>3889</v>
      </c>
      <c r="D89">
        <v>3741.58</v>
      </c>
      <c r="E89">
        <v>2768.28</v>
      </c>
      <c r="F89">
        <v>3111.5913919017999</v>
      </c>
      <c r="G89">
        <v>3256.4679999999998</v>
      </c>
      <c r="H89">
        <v>3254.93</v>
      </c>
      <c r="I89">
        <v>3111.5913919017999</v>
      </c>
      <c r="J89">
        <v>2083.3407024457001</v>
      </c>
      <c r="K89">
        <v>4098.2573075310002</v>
      </c>
      <c r="L89">
        <v>4022.8575389460998</v>
      </c>
      <c r="M89">
        <v>-911.26614704439999</v>
      </c>
      <c r="N89">
        <v>8.61</v>
      </c>
      <c r="O89">
        <v>3554.1570999999999</v>
      </c>
      <c r="P89">
        <v>4223.8429000000006</v>
      </c>
      <c r="Q89">
        <f t="shared" si="4"/>
        <v>1120.7199999999998</v>
      </c>
      <c r="R89">
        <f t="shared" si="5"/>
        <v>0.28817690923116479</v>
      </c>
      <c r="S89">
        <f t="shared" si="6"/>
        <v>777.40860809820015</v>
      </c>
      <c r="T89">
        <f t="shared" si="7"/>
        <v>0.19989935924355878</v>
      </c>
    </row>
    <row r="90" spans="1:20" x14ac:dyDescent="0.3">
      <c r="A90" s="2">
        <v>45778</v>
      </c>
      <c r="B90" t="s">
        <v>22</v>
      </c>
      <c r="C90">
        <v>4037</v>
      </c>
      <c r="D90">
        <v>4186.91</v>
      </c>
      <c r="E90">
        <v>4393.1899999999996</v>
      </c>
      <c r="F90">
        <v>4229.0374906868001</v>
      </c>
      <c r="G90">
        <v>4170.6899999999996</v>
      </c>
      <c r="H90">
        <v>4290.05</v>
      </c>
      <c r="I90">
        <v>4229.0374906868001</v>
      </c>
      <c r="J90">
        <v>3177.5423338625001</v>
      </c>
      <c r="K90">
        <v>5151.6884794002999</v>
      </c>
      <c r="L90">
        <v>4020.5477559435999</v>
      </c>
      <c r="M90">
        <v>208.48973474319999</v>
      </c>
      <c r="N90">
        <v>8.61</v>
      </c>
      <c r="O90">
        <v>3689.4142999999999</v>
      </c>
      <c r="P90">
        <v>4384.5857000000015</v>
      </c>
      <c r="Q90">
        <f t="shared" si="4"/>
        <v>-356.1899999999996</v>
      </c>
      <c r="R90">
        <f t="shared" si="5"/>
        <v>-8.8231359920733124E-2</v>
      </c>
      <c r="S90">
        <f t="shared" si="6"/>
        <v>-192.03749068680008</v>
      </c>
      <c r="T90">
        <f t="shared" si="7"/>
        <v>-4.756935612752046E-2</v>
      </c>
    </row>
    <row r="91" spans="1:20" x14ac:dyDescent="0.3">
      <c r="A91" s="2">
        <v>45809</v>
      </c>
      <c r="B91" t="s">
        <v>22</v>
      </c>
      <c r="C91">
        <v>3672</v>
      </c>
      <c r="D91">
        <v>2681.72</v>
      </c>
      <c r="E91">
        <v>4743.74</v>
      </c>
      <c r="F91">
        <v>4120.2930232408999</v>
      </c>
      <c r="G91">
        <v>4115.57</v>
      </c>
      <c r="H91">
        <v>3712.73</v>
      </c>
      <c r="I91">
        <v>4120.2930232408999</v>
      </c>
      <c r="J91">
        <v>3106.8189856466001</v>
      </c>
      <c r="K91">
        <v>5047.5421246641999</v>
      </c>
      <c r="L91">
        <v>4018.1609801743998</v>
      </c>
      <c r="M91">
        <v>102.1320430666</v>
      </c>
      <c r="N91">
        <v>8.61</v>
      </c>
      <c r="O91">
        <v>3355.8407999999999</v>
      </c>
      <c r="P91">
        <v>3988.1592000000001</v>
      </c>
      <c r="Q91">
        <f t="shared" si="4"/>
        <v>-1071.7399999999998</v>
      </c>
      <c r="R91">
        <f t="shared" si="5"/>
        <v>-0.29186819172113282</v>
      </c>
      <c r="S91">
        <f t="shared" si="6"/>
        <v>-448.29302324089986</v>
      </c>
      <c r="T91">
        <f t="shared" si="7"/>
        <v>-0.12208415665601847</v>
      </c>
    </row>
    <row r="92" spans="1:20" x14ac:dyDescent="0.3">
      <c r="A92" s="2">
        <v>45839</v>
      </c>
      <c r="B92" t="s">
        <v>22</v>
      </c>
      <c r="C92">
        <v>4133</v>
      </c>
      <c r="D92">
        <v>3563.24</v>
      </c>
      <c r="E92">
        <v>5268.95</v>
      </c>
      <c r="F92">
        <v>4371.2867629576003</v>
      </c>
      <c r="G92">
        <v>4428.5420000000004</v>
      </c>
      <c r="H92">
        <v>4416.0950000000003</v>
      </c>
      <c r="I92">
        <v>4371.2867629576003</v>
      </c>
      <c r="J92">
        <v>3368.021198593</v>
      </c>
      <c r="K92">
        <v>5349.5414332948003</v>
      </c>
      <c r="L92">
        <v>4015.8511971717999</v>
      </c>
      <c r="M92">
        <v>355.43556578580001</v>
      </c>
      <c r="N92">
        <v>8.61</v>
      </c>
      <c r="O92">
        <v>3777.1487000000002</v>
      </c>
      <c r="P92">
        <v>4488.8513000000003</v>
      </c>
      <c r="Q92">
        <f t="shared" si="4"/>
        <v>-1135.9499999999998</v>
      </c>
      <c r="R92">
        <f t="shared" si="5"/>
        <v>-0.27484877812726827</v>
      </c>
      <c r="S92">
        <f t="shared" si="6"/>
        <v>-238.28676295760033</v>
      </c>
      <c r="T92">
        <f t="shared" si="7"/>
        <v>-5.7654672866586092E-2</v>
      </c>
    </row>
    <row r="93" spans="1:20" x14ac:dyDescent="0.3">
      <c r="A93" s="2">
        <v>45870</v>
      </c>
      <c r="B93" t="s">
        <v>22</v>
      </c>
      <c r="C93">
        <v>4077</v>
      </c>
      <c r="D93">
        <v>3950.7</v>
      </c>
      <c r="E93">
        <v>3940.69</v>
      </c>
      <c r="F93">
        <v>3580.3805277224001</v>
      </c>
      <c r="G93">
        <v>3703.848</v>
      </c>
      <c r="H93">
        <v>3945.6950000000002</v>
      </c>
      <c r="I93">
        <v>3580.3805277224001</v>
      </c>
      <c r="J93">
        <v>2610.7324803817</v>
      </c>
      <c r="K93">
        <v>4552.7391720766</v>
      </c>
      <c r="L93">
        <v>4013.4644214025998</v>
      </c>
      <c r="M93">
        <v>-433.08389368019999</v>
      </c>
      <c r="N93">
        <v>8.61</v>
      </c>
      <c r="O93">
        <v>3725.9703</v>
      </c>
      <c r="P93">
        <v>4428.0297</v>
      </c>
      <c r="Q93">
        <f t="shared" si="4"/>
        <v>136.30999999999995</v>
      </c>
      <c r="R93">
        <f t="shared" si="5"/>
        <v>3.3433897473632561E-2</v>
      </c>
      <c r="S93">
        <f t="shared" si="6"/>
        <v>496.61947227759993</v>
      </c>
      <c r="T93">
        <f t="shared" si="7"/>
        <v>0.12181002508648514</v>
      </c>
    </row>
    <row r="94" spans="1:20" x14ac:dyDescent="0.3">
      <c r="A94" s="2">
        <v>45901</v>
      </c>
      <c r="B94" t="s">
        <v>22</v>
      </c>
      <c r="C94">
        <v>4132</v>
      </c>
      <c r="D94">
        <v>4828.55</v>
      </c>
      <c r="E94">
        <v>4319.95</v>
      </c>
      <c r="F94">
        <v>4194.2348194337001</v>
      </c>
      <c r="G94">
        <v>4270.6440000000002</v>
      </c>
      <c r="H94">
        <v>4574.25</v>
      </c>
      <c r="I94">
        <v>4194.2348194337001</v>
      </c>
      <c r="J94">
        <v>3211.2933635922</v>
      </c>
      <c r="K94">
        <v>5212.0620769376001</v>
      </c>
      <c r="L94">
        <v>4011.0776456333001</v>
      </c>
      <c r="M94">
        <v>183.15717380039999</v>
      </c>
      <c r="N94">
        <v>8.61</v>
      </c>
      <c r="O94">
        <v>3776.2348000000002</v>
      </c>
      <c r="P94">
        <v>4487.7651999999998</v>
      </c>
      <c r="Q94">
        <f t="shared" si="4"/>
        <v>-187.94999999999982</v>
      </c>
      <c r="R94">
        <f t="shared" si="5"/>
        <v>-4.5486447241045454E-2</v>
      </c>
      <c r="S94">
        <f t="shared" si="6"/>
        <v>-62.234819433700068</v>
      </c>
      <c r="T94">
        <f t="shared" si="7"/>
        <v>-1.5061669756461778E-2</v>
      </c>
    </row>
    <row r="95" spans="1:20" x14ac:dyDescent="0.3">
      <c r="A95" s="2">
        <v>45931</v>
      </c>
      <c r="B95" t="s">
        <v>22</v>
      </c>
      <c r="C95">
        <v>3340</v>
      </c>
      <c r="E95">
        <v>4270.74</v>
      </c>
      <c r="F95">
        <v>3886.5410951626</v>
      </c>
      <c r="G95">
        <v>4154.7624999999998</v>
      </c>
      <c r="H95">
        <v>4895.5749999999998</v>
      </c>
      <c r="I95">
        <v>3886.5410951626</v>
      </c>
      <c r="J95">
        <v>2857.2669889771</v>
      </c>
      <c r="K95">
        <v>4851.1193251557997</v>
      </c>
      <c r="L95">
        <v>4008.7678626308002</v>
      </c>
      <c r="M95">
        <v>-122.22676746819999</v>
      </c>
      <c r="N95">
        <v>8.61</v>
      </c>
      <c r="O95">
        <v>3052.4259999999999</v>
      </c>
      <c r="P95">
        <v>3627.5740000000001</v>
      </c>
      <c r="Q95">
        <f t="shared" si="4"/>
        <v>-930.73999999999978</v>
      </c>
      <c r="R95">
        <f t="shared" si="5"/>
        <v>-0.27866467065868256</v>
      </c>
      <c r="S95">
        <f t="shared" si="6"/>
        <v>-546.54109516259996</v>
      </c>
      <c r="T95">
        <f t="shared" si="7"/>
        <v>-0.16363505843191614</v>
      </c>
    </row>
    <row r="96" spans="1:20" x14ac:dyDescent="0.3">
      <c r="A96" s="2">
        <v>45962</v>
      </c>
      <c r="B96" t="s">
        <v>22</v>
      </c>
      <c r="C96">
        <v>3781</v>
      </c>
      <c r="E96">
        <v>5392.91</v>
      </c>
      <c r="F96">
        <v>3931.3682529459002</v>
      </c>
      <c r="G96">
        <v>3733.4274999999998</v>
      </c>
      <c r="H96">
        <v>4310.75</v>
      </c>
      <c r="I96">
        <v>3931.3682529459002</v>
      </c>
      <c r="J96">
        <v>3011.7429289744</v>
      </c>
      <c r="K96">
        <v>4980.8699122528997</v>
      </c>
      <c r="L96">
        <v>4006.3810868615001</v>
      </c>
      <c r="M96">
        <v>-75.012833915599998</v>
      </c>
      <c r="N96">
        <v>8.61</v>
      </c>
      <c r="O96">
        <v>3455.4558999999999</v>
      </c>
      <c r="P96">
        <v>4106.5441000000001</v>
      </c>
      <c r="Q96">
        <f t="shared" si="4"/>
        <v>-1611.9099999999999</v>
      </c>
      <c r="R96">
        <f t="shared" si="5"/>
        <v>-0.42631843427664634</v>
      </c>
      <c r="S96">
        <f t="shared" si="6"/>
        <v>-150.36825294590017</v>
      </c>
      <c r="T96">
        <f t="shared" si="7"/>
        <v>-3.9769440080904564E-2</v>
      </c>
    </row>
    <row r="97" spans="1:20" x14ac:dyDescent="0.3">
      <c r="A97" s="2">
        <v>45992</v>
      </c>
      <c r="B97" t="s">
        <v>22</v>
      </c>
      <c r="C97">
        <v>4383</v>
      </c>
      <c r="E97">
        <v>4407.68</v>
      </c>
      <c r="F97">
        <v>4430.2714837740004</v>
      </c>
      <c r="G97">
        <v>4481.8900000000003</v>
      </c>
      <c r="H97">
        <v>4348.34</v>
      </c>
      <c r="I97">
        <v>4430.2714837740004</v>
      </c>
      <c r="J97">
        <v>3303.2078893665998</v>
      </c>
      <c r="K97">
        <v>5400.8638655916002</v>
      </c>
      <c r="L97">
        <v>4004.0713038590002</v>
      </c>
      <c r="M97">
        <v>426.20017991489999</v>
      </c>
      <c r="N97">
        <v>8.61</v>
      </c>
      <c r="O97">
        <v>4005.6237000000001</v>
      </c>
      <c r="P97">
        <v>4760.3762999999999</v>
      </c>
      <c r="Q97">
        <f t="shared" si="4"/>
        <v>-24.680000000000291</v>
      </c>
      <c r="R97">
        <f t="shared" si="5"/>
        <v>-5.6308464522017545E-3</v>
      </c>
      <c r="S97">
        <f t="shared" si="6"/>
        <v>-47.271483774000444</v>
      </c>
      <c r="T97">
        <f t="shared" si="7"/>
        <v>-1.078518908829579E-2</v>
      </c>
    </row>
    <row r="98" spans="1:20" x14ac:dyDescent="0.3">
      <c r="A98" s="2">
        <v>45658</v>
      </c>
      <c r="B98" t="s">
        <v>23</v>
      </c>
      <c r="C98">
        <v>18796</v>
      </c>
      <c r="D98">
        <v>18822.419999999998</v>
      </c>
      <c r="E98">
        <v>22387.14</v>
      </c>
      <c r="F98">
        <v>19985.187125376098</v>
      </c>
      <c r="G98">
        <v>21727.338</v>
      </c>
      <c r="H98">
        <v>20604.78</v>
      </c>
      <c r="I98">
        <v>19985.187125376098</v>
      </c>
      <c r="J98">
        <v>18121.504033009202</v>
      </c>
      <c r="K98">
        <v>21897.071596539099</v>
      </c>
      <c r="L98">
        <v>18407.3972201783</v>
      </c>
      <c r="M98">
        <v>1577.7899051978</v>
      </c>
      <c r="N98">
        <v>4.6900000000000004</v>
      </c>
      <c r="O98">
        <v>17914.4676</v>
      </c>
      <c r="P98">
        <v>19677.5324</v>
      </c>
      <c r="Q98">
        <f t="shared" si="4"/>
        <v>-3591.1399999999994</v>
      </c>
      <c r="R98">
        <f t="shared" si="5"/>
        <v>-0.19105873590125555</v>
      </c>
      <c r="S98">
        <f t="shared" si="6"/>
        <v>-1189.1871253760983</v>
      </c>
      <c r="T98">
        <f t="shared" si="7"/>
        <v>-6.3268095625457446E-2</v>
      </c>
    </row>
    <row r="99" spans="1:20" x14ac:dyDescent="0.3">
      <c r="A99" s="2">
        <v>45689</v>
      </c>
      <c r="B99" t="s">
        <v>23</v>
      </c>
      <c r="C99">
        <v>17067</v>
      </c>
      <c r="D99">
        <v>17060.439999999999</v>
      </c>
      <c r="E99">
        <v>22182.89</v>
      </c>
      <c r="F99">
        <v>17494.650656067599</v>
      </c>
      <c r="G99">
        <v>19546.946</v>
      </c>
      <c r="H99">
        <v>19621.665000000001</v>
      </c>
      <c r="I99">
        <v>17494.650656067599</v>
      </c>
      <c r="J99">
        <v>15709.7332902011</v>
      </c>
      <c r="K99">
        <v>19398.032619066002</v>
      </c>
      <c r="L99">
        <v>18326.786921029299</v>
      </c>
      <c r="M99">
        <v>-832.13626496159998</v>
      </c>
      <c r="N99">
        <v>4.6900000000000004</v>
      </c>
      <c r="O99">
        <v>16266.557699999999</v>
      </c>
      <c r="P99">
        <v>17867.442299999999</v>
      </c>
      <c r="Q99">
        <f t="shared" si="4"/>
        <v>-5115.8899999999994</v>
      </c>
      <c r="R99">
        <f t="shared" si="5"/>
        <v>-0.29975332513036851</v>
      </c>
      <c r="S99">
        <f t="shared" si="6"/>
        <v>-427.6506560675989</v>
      </c>
      <c r="T99">
        <f t="shared" si="7"/>
        <v>-2.5057166231182919E-2</v>
      </c>
    </row>
    <row r="100" spans="1:20" x14ac:dyDescent="0.3">
      <c r="A100" s="2">
        <v>45717</v>
      </c>
      <c r="B100" t="s">
        <v>23</v>
      </c>
      <c r="C100">
        <v>22663</v>
      </c>
      <c r="D100">
        <v>22655.63</v>
      </c>
      <c r="E100">
        <v>17487.169999999998</v>
      </c>
      <c r="F100">
        <v>19159.202866515199</v>
      </c>
      <c r="G100">
        <v>21019.598000000002</v>
      </c>
      <c r="H100">
        <v>20071.400000000001</v>
      </c>
      <c r="I100">
        <v>19159.202866515199</v>
      </c>
      <c r="J100">
        <v>17225.396534472398</v>
      </c>
      <c r="K100">
        <v>21041.233156194899</v>
      </c>
      <c r="L100">
        <v>18253.977618572</v>
      </c>
      <c r="M100">
        <v>905.22524794310004</v>
      </c>
      <c r="N100">
        <v>4.6900000000000004</v>
      </c>
      <c r="O100">
        <v>21600.105299999999</v>
      </c>
      <c r="P100">
        <v>23725.894700000001</v>
      </c>
      <c r="Q100">
        <f t="shared" si="4"/>
        <v>5175.8300000000017</v>
      </c>
      <c r="R100">
        <f t="shared" si="5"/>
        <v>0.22838238538587133</v>
      </c>
      <c r="S100">
        <f t="shared" si="6"/>
        <v>3503.7971334848007</v>
      </c>
      <c r="T100">
        <f t="shared" si="7"/>
        <v>0.15460429481907959</v>
      </c>
    </row>
    <row r="101" spans="1:20" x14ac:dyDescent="0.3">
      <c r="A101" s="2">
        <v>45748</v>
      </c>
      <c r="B101" t="s">
        <v>23</v>
      </c>
      <c r="C101">
        <v>16414</v>
      </c>
      <c r="D101">
        <v>16468.91</v>
      </c>
      <c r="E101">
        <v>16299.7</v>
      </c>
      <c r="F101">
        <v>16998.0923608105</v>
      </c>
      <c r="G101">
        <v>18899.439999999999</v>
      </c>
      <c r="H101">
        <v>16384.305</v>
      </c>
      <c r="I101">
        <v>16998.0923608105</v>
      </c>
      <c r="J101">
        <v>14873.6304425289</v>
      </c>
      <c r="K101">
        <v>19136.5370562793</v>
      </c>
      <c r="L101">
        <v>18173.367319423</v>
      </c>
      <c r="M101">
        <v>-1175.2749586125001</v>
      </c>
      <c r="N101">
        <v>4.6900000000000004</v>
      </c>
      <c r="O101">
        <v>15644.1834</v>
      </c>
      <c r="P101">
        <v>17183.816599999998</v>
      </c>
      <c r="Q101">
        <f t="shared" si="4"/>
        <v>114.29999999999927</v>
      </c>
      <c r="R101">
        <f t="shared" si="5"/>
        <v>6.9635676861215592E-3</v>
      </c>
      <c r="S101">
        <f t="shared" si="6"/>
        <v>-584.0923608105004</v>
      </c>
      <c r="T101">
        <f t="shared" si="7"/>
        <v>-3.5585010406390907E-2</v>
      </c>
    </row>
    <row r="102" spans="1:20" x14ac:dyDescent="0.3">
      <c r="A102" s="2">
        <v>45778</v>
      </c>
      <c r="B102" t="s">
        <v>23</v>
      </c>
      <c r="C102">
        <v>17463</v>
      </c>
      <c r="D102">
        <v>17509.63</v>
      </c>
      <c r="E102">
        <v>19937.45</v>
      </c>
      <c r="F102">
        <v>18672.2002733708</v>
      </c>
      <c r="G102">
        <v>20624.563999999998</v>
      </c>
      <c r="H102">
        <v>18723.54</v>
      </c>
      <c r="I102">
        <v>18672.2002733708</v>
      </c>
      <c r="J102">
        <v>16766.4041354328</v>
      </c>
      <c r="K102">
        <v>20656.465886666901</v>
      </c>
      <c r="L102">
        <v>18095.357352504499</v>
      </c>
      <c r="M102">
        <v>576.84292086619996</v>
      </c>
      <c r="N102">
        <v>4.6900000000000004</v>
      </c>
      <c r="O102">
        <v>16643.9853</v>
      </c>
      <c r="P102">
        <v>18282.0147</v>
      </c>
      <c r="Q102">
        <f t="shared" si="4"/>
        <v>-2474.4500000000007</v>
      </c>
      <c r="R102">
        <f t="shared" si="5"/>
        <v>-0.14169673022962839</v>
      </c>
      <c r="S102">
        <f t="shared" si="6"/>
        <v>-1209.2002733707996</v>
      </c>
      <c r="T102">
        <f t="shared" si="7"/>
        <v>-6.9243559146240599E-2</v>
      </c>
    </row>
    <row r="103" spans="1:20" x14ac:dyDescent="0.3">
      <c r="A103" s="2">
        <v>45809</v>
      </c>
      <c r="B103" t="s">
        <v>23</v>
      </c>
      <c r="C103">
        <v>16327</v>
      </c>
      <c r="D103">
        <v>15703.87</v>
      </c>
      <c r="E103">
        <v>20830.490000000002</v>
      </c>
      <c r="F103">
        <v>17748.231408028802</v>
      </c>
      <c r="G103">
        <v>19581.506000000001</v>
      </c>
      <c r="H103">
        <v>18267.18</v>
      </c>
      <c r="I103">
        <v>17748.231408028802</v>
      </c>
      <c r="J103">
        <v>15765.296293753099</v>
      </c>
      <c r="K103">
        <v>19654.4207108677</v>
      </c>
      <c r="L103">
        <v>18014.747053355499</v>
      </c>
      <c r="M103">
        <v>-266.5156453267</v>
      </c>
      <c r="N103">
        <v>4.6900000000000004</v>
      </c>
      <c r="O103">
        <v>15561.2637</v>
      </c>
      <c r="P103">
        <v>17092.7363</v>
      </c>
      <c r="Q103">
        <f t="shared" si="4"/>
        <v>-4503.4900000000016</v>
      </c>
      <c r="R103">
        <f t="shared" si="5"/>
        <v>-0.27583083236356964</v>
      </c>
      <c r="S103">
        <f t="shared" si="6"/>
        <v>-1421.2314080288015</v>
      </c>
      <c r="T103">
        <f t="shared" si="7"/>
        <v>-8.7047921114032062E-2</v>
      </c>
    </row>
    <row r="104" spans="1:20" x14ac:dyDescent="0.3">
      <c r="A104" s="2">
        <v>45839</v>
      </c>
      <c r="B104" t="s">
        <v>23</v>
      </c>
      <c r="C104">
        <v>18674</v>
      </c>
      <c r="D104">
        <v>19247.310000000001</v>
      </c>
      <c r="E104">
        <v>18894.04</v>
      </c>
      <c r="F104">
        <v>19396.1838892909</v>
      </c>
      <c r="G104">
        <v>21369.866000000002</v>
      </c>
      <c r="H104">
        <v>19070.674999999999</v>
      </c>
      <c r="I104">
        <v>19396.1838892909</v>
      </c>
      <c r="J104">
        <v>17365.557763799101</v>
      </c>
      <c r="K104">
        <v>21335.088460303701</v>
      </c>
      <c r="L104">
        <v>17936.737086436999</v>
      </c>
      <c r="M104">
        <v>1459.4468028539</v>
      </c>
      <c r="N104">
        <v>4.6900000000000004</v>
      </c>
      <c r="O104">
        <v>17798.189399999999</v>
      </c>
      <c r="P104">
        <v>19549.810600000001</v>
      </c>
      <c r="Q104">
        <f t="shared" si="4"/>
        <v>-220.04000000000087</v>
      </c>
      <c r="R104">
        <f t="shared" si="5"/>
        <v>-1.1783228017564575E-2</v>
      </c>
      <c r="S104">
        <f t="shared" si="6"/>
        <v>-722.18388929089997</v>
      </c>
      <c r="T104">
        <f t="shared" si="7"/>
        <v>-3.8673229586103669E-2</v>
      </c>
    </row>
    <row r="105" spans="1:20" x14ac:dyDescent="0.3">
      <c r="A105" s="2">
        <v>45870</v>
      </c>
      <c r="B105" t="s">
        <v>23</v>
      </c>
      <c r="C105">
        <v>18379</v>
      </c>
      <c r="D105">
        <v>17899.57</v>
      </c>
      <c r="E105">
        <v>17406.59</v>
      </c>
      <c r="F105">
        <v>16532.308026668099</v>
      </c>
      <c r="G105">
        <v>18339.03</v>
      </c>
      <c r="H105">
        <v>17653.080000000002</v>
      </c>
      <c r="I105">
        <v>16532.308026668099</v>
      </c>
      <c r="J105">
        <v>14695.2913199755</v>
      </c>
      <c r="K105">
        <v>18535.348537815</v>
      </c>
      <c r="L105">
        <v>17856.126787288002</v>
      </c>
      <c r="M105">
        <v>-1323.8187606198001</v>
      </c>
      <c r="N105">
        <v>4.6900000000000004</v>
      </c>
      <c r="O105">
        <v>17517.0249</v>
      </c>
      <c r="P105">
        <v>19240.9751</v>
      </c>
      <c r="Q105">
        <f t="shared" si="4"/>
        <v>972.40999999999985</v>
      </c>
      <c r="R105">
        <f t="shared" si="5"/>
        <v>5.290875455683116E-2</v>
      </c>
      <c r="S105">
        <f t="shared" si="6"/>
        <v>1846.691973331901</v>
      </c>
      <c r="T105">
        <f t="shared" si="7"/>
        <v>0.1004783706040536</v>
      </c>
    </row>
    <row r="106" spans="1:20" x14ac:dyDescent="0.3">
      <c r="A106" s="2">
        <v>45901</v>
      </c>
      <c r="B106" t="s">
        <v>23</v>
      </c>
      <c r="C106">
        <v>18047</v>
      </c>
      <c r="D106">
        <v>18138.11</v>
      </c>
      <c r="E106">
        <v>16523.259999999998</v>
      </c>
      <c r="F106">
        <v>17011.181223293501</v>
      </c>
      <c r="G106">
        <v>18938.452000000001</v>
      </c>
      <c r="H106">
        <v>17330.685000000001</v>
      </c>
      <c r="I106">
        <v>17011.181223293501</v>
      </c>
      <c r="J106">
        <v>15072.4667599268</v>
      </c>
      <c r="K106">
        <v>18926.5097983263</v>
      </c>
      <c r="L106">
        <v>17775.516488138899</v>
      </c>
      <c r="M106">
        <v>-764.33526484540005</v>
      </c>
      <c r="N106">
        <v>4.6900000000000004</v>
      </c>
      <c r="O106">
        <v>17200.595700000002</v>
      </c>
      <c r="P106">
        <v>18893.404299999998</v>
      </c>
      <c r="Q106">
        <f t="shared" si="4"/>
        <v>1523.7400000000016</v>
      </c>
      <c r="R106">
        <f t="shared" si="5"/>
        <v>8.4431761511608666E-2</v>
      </c>
      <c r="S106">
        <f t="shared" si="6"/>
        <v>1035.8187767064992</v>
      </c>
      <c r="T106">
        <f t="shared" si="7"/>
        <v>5.7395621250429386E-2</v>
      </c>
    </row>
    <row r="107" spans="1:20" x14ac:dyDescent="0.3">
      <c r="A107" s="2">
        <v>45931</v>
      </c>
      <c r="B107" t="s">
        <v>23</v>
      </c>
      <c r="C107">
        <v>19365</v>
      </c>
      <c r="E107">
        <v>19484.38</v>
      </c>
      <c r="F107">
        <v>17491.642471981599</v>
      </c>
      <c r="G107">
        <v>19949.855</v>
      </c>
      <c r="H107">
        <v>20483.3</v>
      </c>
      <c r="I107">
        <v>17491.642471981599</v>
      </c>
      <c r="J107">
        <v>15528.347831158901</v>
      </c>
      <c r="K107">
        <v>19419.2322547656</v>
      </c>
      <c r="L107">
        <v>17697.506521220501</v>
      </c>
      <c r="M107">
        <v>-205.86404923890001</v>
      </c>
      <c r="N107">
        <v>4.6900000000000004</v>
      </c>
      <c r="O107">
        <v>18456.781500000001</v>
      </c>
      <c r="P107">
        <v>20273.218499999999</v>
      </c>
      <c r="Q107">
        <f t="shared" si="4"/>
        <v>-119.38000000000102</v>
      </c>
      <c r="R107">
        <f t="shared" si="5"/>
        <v>-6.1647301833204762E-3</v>
      </c>
      <c r="S107">
        <f t="shared" si="6"/>
        <v>1873.3575280184014</v>
      </c>
      <c r="T107">
        <f t="shared" si="7"/>
        <v>9.6739350788453471E-2</v>
      </c>
    </row>
    <row r="108" spans="1:20" x14ac:dyDescent="0.3">
      <c r="A108" s="2">
        <v>45962</v>
      </c>
      <c r="B108" t="s">
        <v>23</v>
      </c>
      <c r="C108">
        <v>18036</v>
      </c>
      <c r="E108">
        <v>18979.04</v>
      </c>
      <c r="F108">
        <v>17645.0744317893</v>
      </c>
      <c r="G108">
        <v>19918.97</v>
      </c>
      <c r="H108">
        <v>19662.755000000001</v>
      </c>
      <c r="I108">
        <v>17645.0744317893</v>
      </c>
      <c r="J108">
        <v>15596.1946212231</v>
      </c>
      <c r="K108">
        <v>19610.876745311201</v>
      </c>
      <c r="L108">
        <v>17616.896222071398</v>
      </c>
      <c r="M108">
        <v>28.1782097179</v>
      </c>
      <c r="N108">
        <v>4.6900000000000004</v>
      </c>
      <c r="O108">
        <v>17190.1116</v>
      </c>
      <c r="P108">
        <v>18881.8884</v>
      </c>
      <c r="Q108">
        <f t="shared" si="4"/>
        <v>-943.04000000000087</v>
      </c>
      <c r="R108">
        <f t="shared" si="5"/>
        <v>-5.2286538035041075E-2</v>
      </c>
      <c r="S108">
        <f t="shared" si="6"/>
        <v>390.92556821069957</v>
      </c>
      <c r="T108">
        <f t="shared" si="7"/>
        <v>2.1674737647521598E-2</v>
      </c>
    </row>
    <row r="109" spans="1:20" x14ac:dyDescent="0.3">
      <c r="A109" s="2">
        <v>45992</v>
      </c>
      <c r="B109" t="s">
        <v>23</v>
      </c>
      <c r="C109">
        <v>20008</v>
      </c>
      <c r="E109">
        <v>18335.46</v>
      </c>
      <c r="F109">
        <v>17874.1862430369</v>
      </c>
      <c r="G109">
        <v>20316.572499999998</v>
      </c>
      <c r="H109">
        <v>19193.29</v>
      </c>
      <c r="I109">
        <v>17874.1862430369</v>
      </c>
      <c r="J109">
        <v>15921.8886665628</v>
      </c>
      <c r="K109">
        <v>19827.454116498098</v>
      </c>
      <c r="L109">
        <v>17538.886255152898</v>
      </c>
      <c r="M109">
        <v>335.29998788400002</v>
      </c>
      <c r="N109">
        <v>4.6900000000000004</v>
      </c>
      <c r="O109">
        <v>19069.624800000001</v>
      </c>
      <c r="P109">
        <v>20946.375199999999</v>
      </c>
      <c r="Q109">
        <f t="shared" si="4"/>
        <v>1672.5400000000009</v>
      </c>
      <c r="R109">
        <f t="shared" si="5"/>
        <v>8.3593562574970054E-2</v>
      </c>
      <c r="S109">
        <f t="shared" si="6"/>
        <v>2133.8137569630999</v>
      </c>
      <c r="T109">
        <f t="shared" si="7"/>
        <v>0.10664802863670031</v>
      </c>
    </row>
    <row r="110" spans="1:20" x14ac:dyDescent="0.3">
      <c r="A110" s="2">
        <v>45658</v>
      </c>
      <c r="B110" t="s">
        <v>24</v>
      </c>
      <c r="C110">
        <v>10867</v>
      </c>
      <c r="D110">
        <v>10756.57</v>
      </c>
      <c r="E110">
        <v>13544.76</v>
      </c>
      <c r="F110">
        <v>11773.199323601601</v>
      </c>
      <c r="G110">
        <v>12742.778</v>
      </c>
      <c r="H110">
        <v>12150.665000000001</v>
      </c>
      <c r="I110">
        <v>11773.199323601601</v>
      </c>
      <c r="J110">
        <v>10359.7245304109</v>
      </c>
      <c r="K110">
        <v>13268.491217720501</v>
      </c>
      <c r="L110">
        <v>10618.2383366838</v>
      </c>
      <c r="M110">
        <v>1154.9609869178</v>
      </c>
      <c r="N110">
        <v>9.7899999999999991</v>
      </c>
      <c r="O110">
        <v>9803.1206999999995</v>
      </c>
      <c r="P110">
        <v>11930.879300000001</v>
      </c>
      <c r="Q110">
        <f t="shared" si="4"/>
        <v>-2677.76</v>
      </c>
      <c r="R110">
        <f t="shared" si="5"/>
        <v>-0.24641207324928685</v>
      </c>
      <c r="S110">
        <f t="shared" si="6"/>
        <v>-906.19932360160055</v>
      </c>
      <c r="T110">
        <f t="shared" si="7"/>
        <v>-8.339001781555172E-2</v>
      </c>
    </row>
    <row r="111" spans="1:20" x14ac:dyDescent="0.3">
      <c r="A111" s="2">
        <v>45689</v>
      </c>
      <c r="B111" t="s">
        <v>24</v>
      </c>
      <c r="C111">
        <v>9203</v>
      </c>
      <c r="D111">
        <v>8917.68</v>
      </c>
      <c r="E111">
        <v>13488.94</v>
      </c>
      <c r="F111">
        <v>9663.0583266703998</v>
      </c>
      <c r="G111">
        <v>11372.825999999999</v>
      </c>
      <c r="H111">
        <v>11203.31</v>
      </c>
      <c r="I111">
        <v>9663.0583266703998</v>
      </c>
      <c r="J111">
        <v>8207.9202663320993</v>
      </c>
      <c r="K111">
        <v>11051.952650085699</v>
      </c>
      <c r="L111">
        <v>10570.127134309299</v>
      </c>
      <c r="M111">
        <v>-907.06880763900006</v>
      </c>
      <c r="N111">
        <v>9.7899999999999991</v>
      </c>
      <c r="O111">
        <v>8302.0262999999995</v>
      </c>
      <c r="P111">
        <v>10103.9737</v>
      </c>
      <c r="Q111">
        <f t="shared" si="4"/>
        <v>-4285.9400000000005</v>
      </c>
      <c r="R111">
        <f t="shared" si="5"/>
        <v>-0.46571118113658594</v>
      </c>
      <c r="S111">
        <f t="shared" si="6"/>
        <v>-460.05832667039977</v>
      </c>
      <c r="T111">
        <f t="shared" si="7"/>
        <v>-4.9990038755883925E-2</v>
      </c>
    </row>
    <row r="112" spans="1:20" x14ac:dyDescent="0.3">
      <c r="A112" s="2">
        <v>45717</v>
      </c>
      <c r="B112" t="s">
        <v>24</v>
      </c>
      <c r="C112">
        <v>12730</v>
      </c>
      <c r="D112">
        <v>12695.25</v>
      </c>
      <c r="E112">
        <v>9230.75</v>
      </c>
      <c r="F112">
        <v>10585.8472200344</v>
      </c>
      <c r="G112">
        <v>11686.31</v>
      </c>
      <c r="H112">
        <v>10963</v>
      </c>
      <c r="I112">
        <v>10585.8472200344</v>
      </c>
      <c r="J112">
        <v>9117.2209918408007</v>
      </c>
      <c r="K112">
        <v>12009.5527414344</v>
      </c>
      <c r="L112">
        <v>10526.6718547452</v>
      </c>
      <c r="M112">
        <v>59.175365289200002</v>
      </c>
      <c r="N112">
        <v>9.7899999999999991</v>
      </c>
      <c r="O112">
        <v>11483.733</v>
      </c>
      <c r="P112">
        <v>13976.267</v>
      </c>
      <c r="Q112">
        <f t="shared" si="4"/>
        <v>3499.25</v>
      </c>
      <c r="R112">
        <f t="shared" si="5"/>
        <v>0.27488216810683425</v>
      </c>
      <c r="S112">
        <f t="shared" si="6"/>
        <v>2144.1527799655996</v>
      </c>
      <c r="T112">
        <f t="shared" si="7"/>
        <v>0.16843305419996854</v>
      </c>
    </row>
    <row r="113" spans="1:20" x14ac:dyDescent="0.3">
      <c r="A113" s="2">
        <v>45748</v>
      </c>
      <c r="B113" t="s">
        <v>24</v>
      </c>
      <c r="C113">
        <v>8988</v>
      </c>
      <c r="D113">
        <v>10913.38</v>
      </c>
      <c r="E113">
        <v>8521.2800000000007</v>
      </c>
      <c r="F113">
        <v>9294.1948381376005</v>
      </c>
      <c r="G113">
        <v>10332.737999999999</v>
      </c>
      <c r="H113">
        <v>9717.33</v>
      </c>
      <c r="I113">
        <v>9294.1948381376005</v>
      </c>
      <c r="J113">
        <v>7837.2004684982003</v>
      </c>
      <c r="K113">
        <v>10693.4628295286</v>
      </c>
      <c r="L113">
        <v>10478.560652370799</v>
      </c>
      <c r="M113">
        <v>-1184.3658142331999</v>
      </c>
      <c r="N113">
        <v>9.7899999999999991</v>
      </c>
      <c r="O113">
        <v>8108.0748000000003</v>
      </c>
      <c r="P113">
        <v>9867.9252000000015</v>
      </c>
      <c r="Q113">
        <f t="shared" si="4"/>
        <v>466.71999999999935</v>
      </c>
      <c r="R113">
        <f t="shared" si="5"/>
        <v>5.1927013796172601E-2</v>
      </c>
      <c r="S113">
        <f t="shared" si="6"/>
        <v>-306.19483813760053</v>
      </c>
      <c r="T113">
        <f t="shared" si="7"/>
        <v>-3.4067071443880791E-2</v>
      </c>
    </row>
    <row r="114" spans="1:20" x14ac:dyDescent="0.3">
      <c r="A114" s="2">
        <v>45778</v>
      </c>
      <c r="B114" t="s">
        <v>24</v>
      </c>
      <c r="C114">
        <v>9858</v>
      </c>
      <c r="D114">
        <v>9729</v>
      </c>
      <c r="E114">
        <v>11652.17</v>
      </c>
      <c r="F114">
        <v>10410.194726444401</v>
      </c>
      <c r="G114">
        <v>11657.936</v>
      </c>
      <c r="H114">
        <v>10690.584999999999</v>
      </c>
      <c r="I114">
        <v>10410.194726444401</v>
      </c>
      <c r="J114">
        <v>8923.2734298321993</v>
      </c>
      <c r="K114">
        <v>11841.4973972113</v>
      </c>
      <c r="L114">
        <v>10432.0014242664</v>
      </c>
      <c r="M114">
        <v>-21.806697822</v>
      </c>
      <c r="N114">
        <v>9.7899999999999991</v>
      </c>
      <c r="O114">
        <v>8892.9017999999996</v>
      </c>
      <c r="P114">
        <v>10823.0982</v>
      </c>
      <c r="Q114">
        <f t="shared" si="4"/>
        <v>-1794.17</v>
      </c>
      <c r="R114">
        <f t="shared" si="5"/>
        <v>-0.18200142016636237</v>
      </c>
      <c r="S114">
        <f t="shared" si="6"/>
        <v>-552.19472644440066</v>
      </c>
      <c r="T114">
        <f t="shared" si="7"/>
        <v>-5.601488399720031E-2</v>
      </c>
    </row>
    <row r="115" spans="1:20" x14ac:dyDescent="0.3">
      <c r="A115" s="2">
        <v>45809</v>
      </c>
      <c r="B115" t="s">
        <v>24</v>
      </c>
      <c r="C115">
        <v>9406</v>
      </c>
      <c r="D115">
        <v>8992.56</v>
      </c>
      <c r="E115">
        <v>12772.47</v>
      </c>
      <c r="F115">
        <v>10414.8662485365</v>
      </c>
      <c r="G115">
        <v>11412.273999999999</v>
      </c>
      <c r="H115">
        <v>10882.514999999999</v>
      </c>
      <c r="I115">
        <v>10414.8662485365</v>
      </c>
      <c r="J115">
        <v>8941.1131565285996</v>
      </c>
      <c r="K115">
        <v>11855.0965627024</v>
      </c>
      <c r="L115">
        <v>10383.890221891899</v>
      </c>
      <c r="M115">
        <v>30.976026644699999</v>
      </c>
      <c r="N115">
        <v>9.7899999999999991</v>
      </c>
      <c r="O115">
        <v>8485.1525999999994</v>
      </c>
      <c r="P115">
        <v>10326.847400000001</v>
      </c>
      <c r="Q115">
        <f t="shared" si="4"/>
        <v>-3366.4699999999993</v>
      </c>
      <c r="R115">
        <f t="shared" si="5"/>
        <v>-0.35790665532638732</v>
      </c>
      <c r="S115">
        <f t="shared" si="6"/>
        <v>-1008.8662485365003</v>
      </c>
      <c r="T115">
        <f t="shared" si="7"/>
        <v>-0.10725773426924307</v>
      </c>
    </row>
    <row r="116" spans="1:20" x14ac:dyDescent="0.3">
      <c r="A116" s="2">
        <v>45839</v>
      </c>
      <c r="B116" t="s">
        <v>24</v>
      </c>
      <c r="C116">
        <v>10863</v>
      </c>
      <c r="D116">
        <v>11823.47</v>
      </c>
      <c r="E116">
        <v>10519.66</v>
      </c>
      <c r="F116">
        <v>11015.9340858592</v>
      </c>
      <c r="G116">
        <v>12091.871999999999</v>
      </c>
      <c r="H116">
        <v>11171.565000000001</v>
      </c>
      <c r="I116">
        <v>11015.9340858592</v>
      </c>
      <c r="J116">
        <v>9499.3689415397002</v>
      </c>
      <c r="K116">
        <v>12461.784403672</v>
      </c>
      <c r="L116">
        <v>10337.3309937875</v>
      </c>
      <c r="M116">
        <v>678.60309207169996</v>
      </c>
      <c r="N116">
        <v>9.7899999999999991</v>
      </c>
      <c r="O116">
        <v>9799.5123000000003</v>
      </c>
      <c r="P116">
        <v>11926.4877</v>
      </c>
      <c r="Q116">
        <f t="shared" si="4"/>
        <v>343.34000000000015</v>
      </c>
      <c r="R116">
        <f t="shared" si="5"/>
        <v>3.1606370247629578E-2</v>
      </c>
      <c r="S116">
        <f t="shared" si="6"/>
        <v>-152.93408585920042</v>
      </c>
      <c r="T116">
        <f t="shared" si="7"/>
        <v>-1.4078439276369367E-2</v>
      </c>
    </row>
    <row r="117" spans="1:20" x14ac:dyDescent="0.3">
      <c r="A117" s="2">
        <v>45870</v>
      </c>
      <c r="B117" t="s">
        <v>24</v>
      </c>
      <c r="C117">
        <v>10008</v>
      </c>
      <c r="D117">
        <v>10270.200000000001</v>
      </c>
      <c r="E117">
        <v>9360.69</v>
      </c>
      <c r="F117">
        <v>9555.0961474447995</v>
      </c>
      <c r="G117">
        <v>10738.907999999999</v>
      </c>
      <c r="H117">
        <v>9815.4449999999997</v>
      </c>
      <c r="I117">
        <v>9555.0961474447995</v>
      </c>
      <c r="J117">
        <v>8068.6363004315999</v>
      </c>
      <c r="K117">
        <v>11099.142148171</v>
      </c>
      <c r="L117">
        <v>10289.219791412999</v>
      </c>
      <c r="M117">
        <v>-734.12364396819999</v>
      </c>
      <c r="N117">
        <v>9.7899999999999991</v>
      </c>
      <c r="O117">
        <v>9028.2168000000001</v>
      </c>
      <c r="P117">
        <v>10987.7832</v>
      </c>
      <c r="Q117">
        <f t="shared" si="4"/>
        <v>647.30999999999949</v>
      </c>
      <c r="R117">
        <f t="shared" si="5"/>
        <v>6.4679256594724163E-2</v>
      </c>
      <c r="S117">
        <f t="shared" si="6"/>
        <v>452.9038525552005</v>
      </c>
      <c r="T117">
        <f t="shared" si="7"/>
        <v>4.5254181909992058E-2</v>
      </c>
    </row>
    <row r="118" spans="1:20" x14ac:dyDescent="0.3">
      <c r="A118" s="2">
        <v>45901</v>
      </c>
      <c r="B118" t="s">
        <v>24</v>
      </c>
      <c r="C118">
        <v>10231</v>
      </c>
      <c r="D118">
        <v>10719.16</v>
      </c>
      <c r="E118">
        <v>7886.97</v>
      </c>
      <c r="F118">
        <v>9357.2420213841997</v>
      </c>
      <c r="G118">
        <v>10660.575999999999</v>
      </c>
      <c r="H118">
        <v>9303.0650000000005</v>
      </c>
      <c r="I118">
        <v>9357.2420213841997</v>
      </c>
      <c r="J118">
        <v>7903.8489505867001</v>
      </c>
      <c r="K118">
        <v>10728.0570615258</v>
      </c>
      <c r="L118">
        <v>10241.1085890385</v>
      </c>
      <c r="M118">
        <v>-883.86656765429996</v>
      </c>
      <c r="N118">
        <v>9.7899999999999991</v>
      </c>
      <c r="O118">
        <v>9229.3850999999995</v>
      </c>
      <c r="P118">
        <v>11232.6149</v>
      </c>
      <c r="Q118">
        <f t="shared" si="4"/>
        <v>2344.0299999999997</v>
      </c>
      <c r="R118">
        <f t="shared" si="5"/>
        <v>0.22911054637865308</v>
      </c>
      <c r="S118">
        <f t="shared" si="6"/>
        <v>873.75797861580031</v>
      </c>
      <c r="T118">
        <f t="shared" si="7"/>
        <v>8.5402988819841694E-2</v>
      </c>
    </row>
    <row r="119" spans="1:20" x14ac:dyDescent="0.3">
      <c r="A119" s="2">
        <v>45931</v>
      </c>
      <c r="B119" t="s">
        <v>24</v>
      </c>
      <c r="C119">
        <v>11331</v>
      </c>
      <c r="E119">
        <v>10902.03</v>
      </c>
      <c r="F119">
        <v>9884.2991284430991</v>
      </c>
      <c r="G119">
        <v>11452.045</v>
      </c>
      <c r="H119">
        <v>12096.87</v>
      </c>
      <c r="I119">
        <v>9884.2991284430991</v>
      </c>
      <c r="J119">
        <v>8500.9943606334</v>
      </c>
      <c r="K119">
        <v>11391.231682233099</v>
      </c>
      <c r="L119">
        <v>10194.549360934099</v>
      </c>
      <c r="M119">
        <v>-310.25023249100002</v>
      </c>
      <c r="N119">
        <v>9.7899999999999991</v>
      </c>
      <c r="O119">
        <v>10221.695100000001</v>
      </c>
      <c r="P119">
        <v>12440.304899999999</v>
      </c>
      <c r="Q119">
        <f t="shared" si="4"/>
        <v>428.96999999999935</v>
      </c>
      <c r="R119">
        <f t="shared" si="5"/>
        <v>3.7858088429970821E-2</v>
      </c>
      <c r="S119">
        <f t="shared" si="6"/>
        <v>1446.7008715569009</v>
      </c>
      <c r="T119">
        <f t="shared" si="7"/>
        <v>0.12767636321215259</v>
      </c>
    </row>
    <row r="120" spans="1:20" x14ac:dyDescent="0.3">
      <c r="A120" s="2">
        <v>45962</v>
      </c>
      <c r="B120" t="s">
        <v>24</v>
      </c>
      <c r="C120">
        <v>10925</v>
      </c>
      <c r="E120">
        <v>10233.99</v>
      </c>
      <c r="F120">
        <v>10645.1462232998</v>
      </c>
      <c r="G120">
        <v>11601.022499999999</v>
      </c>
      <c r="H120">
        <v>10608.67</v>
      </c>
      <c r="I120">
        <v>10645.1462232998</v>
      </c>
      <c r="J120">
        <v>9093.5094435147003</v>
      </c>
      <c r="K120">
        <v>12101.4828559445</v>
      </c>
      <c r="L120">
        <v>10146.4381585596</v>
      </c>
      <c r="M120">
        <v>498.70806474019997</v>
      </c>
      <c r="N120">
        <v>9.7899999999999991</v>
      </c>
      <c r="O120">
        <v>9855.442500000001</v>
      </c>
      <c r="P120">
        <v>11994.557500000001</v>
      </c>
      <c r="Q120">
        <f t="shared" si="4"/>
        <v>691.01000000000022</v>
      </c>
      <c r="R120">
        <f t="shared" si="5"/>
        <v>6.3250343249427937E-2</v>
      </c>
      <c r="S120">
        <f t="shared" si="6"/>
        <v>279.85377670019989</v>
      </c>
      <c r="T120">
        <f t="shared" si="7"/>
        <v>2.5615906334114407E-2</v>
      </c>
    </row>
    <row r="121" spans="1:20" x14ac:dyDescent="0.3">
      <c r="A121" s="2">
        <v>45992</v>
      </c>
      <c r="B121" t="s">
        <v>24</v>
      </c>
      <c r="C121">
        <v>12064</v>
      </c>
      <c r="E121">
        <v>9499.9</v>
      </c>
      <c r="F121">
        <v>10187.971969193301</v>
      </c>
      <c r="G121">
        <v>11706.4575</v>
      </c>
      <c r="H121">
        <v>10750.11</v>
      </c>
      <c r="I121">
        <v>10187.971969193301</v>
      </c>
      <c r="J121">
        <v>8688.1046602647002</v>
      </c>
      <c r="K121">
        <v>11695.453958865</v>
      </c>
      <c r="L121">
        <v>10099.878930455299</v>
      </c>
      <c r="M121">
        <v>88.093038738100006</v>
      </c>
      <c r="N121">
        <v>9.7899999999999991</v>
      </c>
      <c r="O121">
        <v>10882.9344</v>
      </c>
      <c r="P121">
        <v>13245.0656</v>
      </c>
      <c r="Q121">
        <f t="shared" si="4"/>
        <v>2564.1000000000004</v>
      </c>
      <c r="R121">
        <f t="shared" si="5"/>
        <v>0.21254144562334221</v>
      </c>
      <c r="S121">
        <f t="shared" si="6"/>
        <v>1876.0280308066995</v>
      </c>
      <c r="T121">
        <f t="shared" si="7"/>
        <v>0.15550630228835374</v>
      </c>
    </row>
    <row r="122" spans="1:20" x14ac:dyDescent="0.3">
      <c r="A122" s="2">
        <v>45658</v>
      </c>
      <c r="B122" t="s">
        <v>25</v>
      </c>
      <c r="C122">
        <v>7929</v>
      </c>
      <c r="D122">
        <v>8065.85</v>
      </c>
      <c r="E122">
        <v>8842.3799999999992</v>
      </c>
      <c r="F122">
        <v>8202.7017604255998</v>
      </c>
      <c r="G122">
        <v>8984.5619999999999</v>
      </c>
      <c r="H122">
        <v>8454.1149999999998</v>
      </c>
      <c r="I122">
        <v>8202.7017604255998</v>
      </c>
      <c r="J122">
        <v>6981.7008128763</v>
      </c>
      <c r="K122">
        <v>9447.6184139028992</v>
      </c>
      <c r="L122">
        <v>7779.9611462837001</v>
      </c>
      <c r="M122">
        <v>422.74061414189998</v>
      </c>
      <c r="N122">
        <v>5.44</v>
      </c>
      <c r="O122">
        <v>7497.6624000000002</v>
      </c>
      <c r="P122">
        <v>8360.3376000000007</v>
      </c>
      <c r="Q122">
        <f t="shared" si="4"/>
        <v>-913.3799999999992</v>
      </c>
      <c r="R122">
        <f t="shared" si="5"/>
        <v>-0.11519485433219816</v>
      </c>
      <c r="S122">
        <f t="shared" si="6"/>
        <v>-273.70176042559979</v>
      </c>
      <c r="T122">
        <f t="shared" si="7"/>
        <v>-3.4519076860335451E-2</v>
      </c>
    </row>
    <row r="123" spans="1:20" x14ac:dyDescent="0.3">
      <c r="A123" s="2">
        <v>45689</v>
      </c>
      <c r="B123" t="s">
        <v>25</v>
      </c>
      <c r="C123">
        <v>7864</v>
      </c>
      <c r="D123">
        <v>8142.76</v>
      </c>
      <c r="E123">
        <v>8693.9500000000007</v>
      </c>
      <c r="F123">
        <v>7816.2836073979997</v>
      </c>
      <c r="G123">
        <v>8174.12</v>
      </c>
      <c r="H123">
        <v>8418.3549999999996</v>
      </c>
      <c r="I123">
        <v>7816.2836073979997</v>
      </c>
      <c r="J123">
        <v>6595.8564162375997</v>
      </c>
      <c r="K123">
        <v>9111.4800604402008</v>
      </c>
      <c r="L123">
        <v>7746.9681398998</v>
      </c>
      <c r="M123">
        <v>69.315467498299995</v>
      </c>
      <c r="N123">
        <v>5.44</v>
      </c>
      <c r="O123">
        <v>7436.1984000000002</v>
      </c>
      <c r="P123">
        <v>8291.8016000000007</v>
      </c>
      <c r="Q123">
        <f t="shared" si="4"/>
        <v>-829.95000000000073</v>
      </c>
      <c r="R123">
        <f t="shared" si="5"/>
        <v>-0.1055378942014243</v>
      </c>
      <c r="S123">
        <f t="shared" si="6"/>
        <v>47.716392602000269</v>
      </c>
      <c r="T123">
        <f t="shared" si="7"/>
        <v>6.067699974822008E-3</v>
      </c>
    </row>
    <row r="124" spans="1:20" x14ac:dyDescent="0.3">
      <c r="A124" s="2">
        <v>45717</v>
      </c>
      <c r="B124" t="s">
        <v>25</v>
      </c>
      <c r="C124">
        <v>9933</v>
      </c>
      <c r="D124">
        <v>9960.3799999999992</v>
      </c>
      <c r="E124">
        <v>8256.42</v>
      </c>
      <c r="F124">
        <v>8562.9496842690005</v>
      </c>
      <c r="G124">
        <v>9333.2880000000005</v>
      </c>
      <c r="H124">
        <v>9108.4</v>
      </c>
      <c r="I124">
        <v>8562.9496842690005</v>
      </c>
      <c r="J124">
        <v>7191.0930872759</v>
      </c>
      <c r="K124">
        <v>9789.3003888750009</v>
      </c>
      <c r="L124">
        <v>7717.1680051014</v>
      </c>
      <c r="M124">
        <v>845.78167916760003</v>
      </c>
      <c r="N124">
        <v>5.44</v>
      </c>
      <c r="O124">
        <v>9392.6448</v>
      </c>
      <c r="P124">
        <v>10473.3552</v>
      </c>
      <c r="Q124">
        <f t="shared" si="4"/>
        <v>1676.58</v>
      </c>
      <c r="R124">
        <f t="shared" si="5"/>
        <v>0.16878888553307156</v>
      </c>
      <c r="S124">
        <f t="shared" si="6"/>
        <v>1370.0503157309995</v>
      </c>
      <c r="T124">
        <f t="shared" si="7"/>
        <v>0.13792915692449406</v>
      </c>
    </row>
    <row r="125" spans="1:20" x14ac:dyDescent="0.3">
      <c r="A125" s="2">
        <v>45748</v>
      </c>
      <c r="B125" t="s">
        <v>25</v>
      </c>
      <c r="C125">
        <v>7426</v>
      </c>
      <c r="D125">
        <v>5555.53</v>
      </c>
      <c r="E125">
        <v>7778.42</v>
      </c>
      <c r="F125">
        <v>7692.0934942585</v>
      </c>
      <c r="G125">
        <v>8566.7039999999997</v>
      </c>
      <c r="H125">
        <v>6666.9750000000004</v>
      </c>
      <c r="I125">
        <v>7692.0934942585</v>
      </c>
      <c r="J125">
        <v>6473.0423399892998</v>
      </c>
      <c r="K125">
        <v>8995.3479717199007</v>
      </c>
      <c r="L125">
        <v>7684.1749987173998</v>
      </c>
      <c r="M125">
        <v>7.9184955410000004</v>
      </c>
      <c r="N125">
        <v>5.44</v>
      </c>
      <c r="O125">
        <v>7022.0255999999999</v>
      </c>
      <c r="P125">
        <v>7829.9744000000001</v>
      </c>
      <c r="Q125">
        <f t="shared" si="4"/>
        <v>-352.42000000000007</v>
      </c>
      <c r="R125">
        <f t="shared" si="5"/>
        <v>-4.7457581470509033E-2</v>
      </c>
      <c r="S125">
        <f t="shared" si="6"/>
        <v>-266.09349425849996</v>
      </c>
      <c r="T125">
        <f t="shared" si="7"/>
        <v>-3.5832681693845944E-2</v>
      </c>
    </row>
    <row r="126" spans="1:20" x14ac:dyDescent="0.3">
      <c r="A126" s="2">
        <v>45778</v>
      </c>
      <c r="B126" t="s">
        <v>25</v>
      </c>
      <c r="C126">
        <v>7605</v>
      </c>
      <c r="D126">
        <v>7780.62</v>
      </c>
      <c r="E126">
        <v>8285.2800000000007</v>
      </c>
      <c r="F126">
        <v>8249.8258659304993</v>
      </c>
      <c r="G126">
        <v>8966.6299999999992</v>
      </c>
      <c r="H126">
        <v>8032.95</v>
      </c>
      <c r="I126">
        <v>8249.8258659304993</v>
      </c>
      <c r="J126">
        <v>7096.2400748594</v>
      </c>
      <c r="K126">
        <v>9530.2083840289997</v>
      </c>
      <c r="L126">
        <v>7652.246282862</v>
      </c>
      <c r="M126">
        <v>597.57958306839998</v>
      </c>
      <c r="N126">
        <v>5.44</v>
      </c>
      <c r="O126">
        <v>7191.2879999999996</v>
      </c>
      <c r="P126">
        <v>8018.7120000000004</v>
      </c>
      <c r="Q126">
        <f t="shared" si="4"/>
        <v>-680.28000000000065</v>
      </c>
      <c r="R126">
        <f t="shared" si="5"/>
        <v>-8.9451676528599686E-2</v>
      </c>
      <c r="S126">
        <f t="shared" si="6"/>
        <v>-644.82586593049928</v>
      </c>
      <c r="T126">
        <f t="shared" si="7"/>
        <v>-8.4789725960617915E-2</v>
      </c>
    </row>
    <row r="127" spans="1:20" x14ac:dyDescent="0.3">
      <c r="A127" s="2">
        <v>45809</v>
      </c>
      <c r="B127" t="s">
        <v>25</v>
      </c>
      <c r="C127">
        <v>6921</v>
      </c>
      <c r="D127">
        <v>6711.31</v>
      </c>
      <c r="E127">
        <v>8058.02</v>
      </c>
      <c r="F127">
        <v>7322.0508179864</v>
      </c>
      <c r="G127">
        <v>8169.23</v>
      </c>
      <c r="H127">
        <v>7384.665</v>
      </c>
      <c r="I127">
        <v>7322.0508179864</v>
      </c>
      <c r="J127">
        <v>6036.5209076280998</v>
      </c>
      <c r="K127">
        <v>8593.0292023156999</v>
      </c>
      <c r="L127">
        <v>7619.2532764780999</v>
      </c>
      <c r="M127">
        <v>-297.20245849169999</v>
      </c>
      <c r="N127">
        <v>5.44</v>
      </c>
      <c r="O127">
        <v>6544.4975999999997</v>
      </c>
      <c r="P127">
        <v>7297.5024000000003</v>
      </c>
      <c r="Q127">
        <f t="shared" si="4"/>
        <v>-1137.0200000000004</v>
      </c>
      <c r="R127">
        <f t="shared" si="5"/>
        <v>-0.16428550787458465</v>
      </c>
      <c r="S127">
        <f t="shared" si="6"/>
        <v>-401.05081798640003</v>
      </c>
      <c r="T127">
        <f t="shared" si="7"/>
        <v>-5.7946946682040174E-2</v>
      </c>
    </row>
    <row r="128" spans="1:20" x14ac:dyDescent="0.3">
      <c r="A128" s="2">
        <v>45839</v>
      </c>
      <c r="B128" t="s">
        <v>25</v>
      </c>
      <c r="C128">
        <v>7811</v>
      </c>
      <c r="D128">
        <v>7423.84</v>
      </c>
      <c r="E128">
        <v>8374.3799999999992</v>
      </c>
      <c r="F128">
        <v>8369.2831097536</v>
      </c>
      <c r="G128">
        <v>9277.9940000000006</v>
      </c>
      <c r="H128">
        <v>7899.11</v>
      </c>
      <c r="I128">
        <v>8369.2831097536</v>
      </c>
      <c r="J128">
        <v>7039.9154603778998</v>
      </c>
      <c r="K128">
        <v>9679.5740066842991</v>
      </c>
      <c r="L128">
        <v>7587.3245606227001</v>
      </c>
      <c r="M128">
        <v>781.9585491309</v>
      </c>
      <c r="N128">
        <v>5.44</v>
      </c>
      <c r="O128">
        <v>7386.0816000000004</v>
      </c>
      <c r="P128">
        <v>8235.9184000000005</v>
      </c>
      <c r="Q128">
        <f t="shared" si="4"/>
        <v>-563.3799999999992</v>
      </c>
      <c r="R128">
        <f t="shared" si="5"/>
        <v>-7.2126488285750759E-2</v>
      </c>
      <c r="S128">
        <f t="shared" si="6"/>
        <v>-558.2831097536</v>
      </c>
      <c r="T128">
        <f t="shared" si="7"/>
        <v>-7.147396104898221E-2</v>
      </c>
    </row>
    <row r="129" spans="1:20" x14ac:dyDescent="0.3">
      <c r="A129" s="2">
        <v>45870</v>
      </c>
      <c r="B129" t="s">
        <v>25</v>
      </c>
      <c r="C129">
        <v>8371</v>
      </c>
      <c r="D129">
        <v>7629.36</v>
      </c>
      <c r="E129">
        <v>8045.9</v>
      </c>
      <c r="F129">
        <v>6963.5739369728999</v>
      </c>
      <c r="G129">
        <v>7600.12</v>
      </c>
      <c r="H129">
        <v>7837.63</v>
      </c>
      <c r="I129">
        <v>6963.5739369728999</v>
      </c>
      <c r="J129">
        <v>5690.1284208937996</v>
      </c>
      <c r="K129">
        <v>8241.5060081025003</v>
      </c>
      <c r="L129">
        <v>7554.3315542388</v>
      </c>
      <c r="M129">
        <v>-590.75761726589997</v>
      </c>
      <c r="N129">
        <v>5.44</v>
      </c>
      <c r="O129">
        <v>7915.6175999999996</v>
      </c>
      <c r="P129">
        <v>8826.3824000000004</v>
      </c>
      <c r="Q129">
        <f t="shared" si="4"/>
        <v>325.10000000000036</v>
      </c>
      <c r="R129">
        <f t="shared" si="5"/>
        <v>3.883645920439617E-2</v>
      </c>
      <c r="S129">
        <f t="shared" si="6"/>
        <v>1407.4260630271001</v>
      </c>
      <c r="T129">
        <f t="shared" si="7"/>
        <v>0.16813117465381677</v>
      </c>
    </row>
    <row r="130" spans="1:20" x14ac:dyDescent="0.3">
      <c r="A130" s="2">
        <v>45901</v>
      </c>
      <c r="B130" t="s">
        <v>25</v>
      </c>
      <c r="C130">
        <v>7815</v>
      </c>
      <c r="D130">
        <v>7418.95</v>
      </c>
      <c r="E130">
        <v>8636.2900000000009</v>
      </c>
      <c r="F130">
        <v>7639.6669577503999</v>
      </c>
      <c r="G130">
        <v>8277.8760000000002</v>
      </c>
      <c r="H130">
        <v>8027.62</v>
      </c>
      <c r="I130">
        <v>7639.6669577503999</v>
      </c>
      <c r="J130">
        <v>6396.4587991443996</v>
      </c>
      <c r="K130">
        <v>8908.4124229644003</v>
      </c>
      <c r="L130">
        <v>7521.3385478547998</v>
      </c>
      <c r="M130">
        <v>118.3284098956</v>
      </c>
      <c r="N130">
        <v>5.44</v>
      </c>
      <c r="O130">
        <v>7389.8639999999996</v>
      </c>
      <c r="P130">
        <v>8240.1360000000004</v>
      </c>
      <c r="Q130">
        <f t="shared" si="4"/>
        <v>-821.29000000000087</v>
      </c>
      <c r="R130">
        <f t="shared" si="5"/>
        <v>-0.10509149072296876</v>
      </c>
      <c r="S130">
        <f t="shared" si="6"/>
        <v>175.33304224960011</v>
      </c>
      <c r="T130">
        <f t="shared" si="7"/>
        <v>2.2435450063928358E-2</v>
      </c>
    </row>
    <row r="131" spans="1:20" x14ac:dyDescent="0.3">
      <c r="A131" s="2">
        <v>45931</v>
      </c>
      <c r="B131" t="s">
        <v>25</v>
      </c>
      <c r="C131">
        <v>8033</v>
      </c>
      <c r="E131">
        <v>8582.35</v>
      </c>
      <c r="F131">
        <v>7591.1115588251996</v>
      </c>
      <c r="G131">
        <v>8497.81</v>
      </c>
      <c r="H131">
        <v>8386.43</v>
      </c>
      <c r="I131">
        <v>7591.1115588251996</v>
      </c>
      <c r="J131">
        <v>6318.1233354945998</v>
      </c>
      <c r="K131">
        <v>8875.1684911853008</v>
      </c>
      <c r="L131">
        <v>7489.4098319994</v>
      </c>
      <c r="M131">
        <v>101.70172682579999</v>
      </c>
      <c r="N131">
        <v>5.44</v>
      </c>
      <c r="O131">
        <v>7596.0047999999997</v>
      </c>
      <c r="P131">
        <v>8469.9951999999994</v>
      </c>
      <c r="Q131">
        <f t="shared" ref="Q131:Q193" si="8">C131-E131</f>
        <v>-549.35000000000036</v>
      </c>
      <c r="R131">
        <f t="shared" ref="R131:R193" si="9">(C131-E131)/C131</f>
        <v>-6.8386655047927347E-2</v>
      </c>
      <c r="S131">
        <f t="shared" ref="S131:S193" si="10">C131-F131</f>
        <v>441.88844117480039</v>
      </c>
      <c r="T131">
        <f t="shared" ref="T131:T193" si="11">(C131-F131)/C131</f>
        <v>5.5009142434308524E-2</v>
      </c>
    </row>
    <row r="132" spans="1:20" x14ac:dyDescent="0.3">
      <c r="A132" s="2">
        <v>45962</v>
      </c>
      <c r="B132" t="s">
        <v>25</v>
      </c>
      <c r="C132">
        <v>7111</v>
      </c>
      <c r="E132">
        <v>8745.0400000000009</v>
      </c>
      <c r="F132">
        <v>6987.8890357733999</v>
      </c>
      <c r="G132">
        <v>8317.9449999999997</v>
      </c>
      <c r="H132">
        <v>9054.08</v>
      </c>
      <c r="I132">
        <v>6987.8890357733999</v>
      </c>
      <c r="J132">
        <v>5648.6193913364996</v>
      </c>
      <c r="K132">
        <v>8221.1562020375004</v>
      </c>
      <c r="L132">
        <v>7456.4168256154999</v>
      </c>
      <c r="M132">
        <v>-468.52778984209999</v>
      </c>
      <c r="N132">
        <v>5.44</v>
      </c>
      <c r="O132">
        <v>6724.1616000000004</v>
      </c>
      <c r="P132">
        <v>7497.8383999999996</v>
      </c>
      <c r="Q132">
        <f t="shared" si="8"/>
        <v>-1634.0400000000009</v>
      </c>
      <c r="R132">
        <f t="shared" si="9"/>
        <v>-0.22979046547602319</v>
      </c>
      <c r="S132">
        <f t="shared" si="10"/>
        <v>123.11096422660012</v>
      </c>
      <c r="T132">
        <f t="shared" si="11"/>
        <v>1.7312749856082141E-2</v>
      </c>
    </row>
    <row r="133" spans="1:20" x14ac:dyDescent="0.3">
      <c r="A133" s="2">
        <v>45992</v>
      </c>
      <c r="B133" t="s">
        <v>25</v>
      </c>
      <c r="C133">
        <v>7944</v>
      </c>
      <c r="E133">
        <v>8835.56</v>
      </c>
      <c r="F133">
        <v>7670.6710096410998</v>
      </c>
      <c r="G133">
        <v>8610.1124999999993</v>
      </c>
      <c r="H133">
        <v>8443.1749999999993</v>
      </c>
      <c r="I133">
        <v>7670.6710096410998</v>
      </c>
      <c r="J133">
        <v>6361.9423823293</v>
      </c>
      <c r="K133">
        <v>8989.1606331219009</v>
      </c>
      <c r="L133">
        <v>7424.4881097601001</v>
      </c>
      <c r="M133">
        <v>246.182899881</v>
      </c>
      <c r="N133">
        <v>5.44</v>
      </c>
      <c r="O133">
        <v>7511.8464000000004</v>
      </c>
      <c r="P133">
        <v>8376.1535999999996</v>
      </c>
      <c r="Q133">
        <f t="shared" si="8"/>
        <v>-891.55999999999949</v>
      </c>
      <c r="R133">
        <f t="shared" si="9"/>
        <v>-0.11223061430010065</v>
      </c>
      <c r="S133">
        <f t="shared" si="10"/>
        <v>273.32899035890023</v>
      </c>
      <c r="T133">
        <f t="shared" si="11"/>
        <v>3.4406972603084118E-2</v>
      </c>
    </row>
    <row r="134" spans="1:20" x14ac:dyDescent="0.3">
      <c r="A134" s="2">
        <v>45658</v>
      </c>
      <c r="B134" t="s">
        <v>26</v>
      </c>
      <c r="C134">
        <v>4262</v>
      </c>
      <c r="D134">
        <v>4182.97</v>
      </c>
      <c r="E134">
        <v>4954.74</v>
      </c>
      <c r="F134">
        <v>3663.3751159962999</v>
      </c>
      <c r="G134">
        <v>4288.402</v>
      </c>
      <c r="H134">
        <v>4568.8549999999996</v>
      </c>
      <c r="I134">
        <v>3663.3751159962999</v>
      </c>
      <c r="J134">
        <v>2679.2209577753001</v>
      </c>
      <c r="K134">
        <v>4757.7548471723003</v>
      </c>
      <c r="L134">
        <v>4164.8172449677004</v>
      </c>
      <c r="M134">
        <v>-501.4421289714</v>
      </c>
      <c r="N134">
        <v>9.57</v>
      </c>
      <c r="O134">
        <v>3854.1266000000001</v>
      </c>
      <c r="P134">
        <v>4669.8733999999986</v>
      </c>
      <c r="Q134">
        <f t="shared" si="8"/>
        <v>-692.73999999999978</v>
      </c>
      <c r="R134">
        <f t="shared" si="9"/>
        <v>-0.16253871421867663</v>
      </c>
      <c r="S134">
        <f t="shared" si="10"/>
        <v>598.62488400370012</v>
      </c>
      <c r="T134">
        <f t="shared" si="11"/>
        <v>0.14045633130072738</v>
      </c>
    </row>
    <row r="135" spans="1:20" x14ac:dyDescent="0.3">
      <c r="A135" s="2">
        <v>45689</v>
      </c>
      <c r="B135" t="s">
        <v>26</v>
      </c>
      <c r="C135">
        <v>2762</v>
      </c>
      <c r="D135">
        <v>2687.59</v>
      </c>
      <c r="E135">
        <v>5996.67</v>
      </c>
      <c r="F135">
        <v>3606.5298284554001</v>
      </c>
      <c r="G135">
        <v>4723.5600000000004</v>
      </c>
      <c r="H135">
        <v>4342.13</v>
      </c>
      <c r="I135">
        <v>3606.5298284554001</v>
      </c>
      <c r="J135">
        <v>2520.15305975</v>
      </c>
      <c r="K135">
        <v>4666.7108269615001</v>
      </c>
      <c r="L135">
        <v>4138.9402225701997</v>
      </c>
      <c r="M135">
        <v>-532.41039411489999</v>
      </c>
      <c r="N135">
        <v>9.57</v>
      </c>
      <c r="O135">
        <v>2497.6765999999998</v>
      </c>
      <c r="P135">
        <v>3026.3234000000002</v>
      </c>
      <c r="Q135">
        <f t="shared" si="8"/>
        <v>-3234.67</v>
      </c>
      <c r="R135">
        <f t="shared" si="9"/>
        <v>-1.1711332367849385</v>
      </c>
      <c r="S135">
        <f t="shared" si="10"/>
        <v>-844.52982845540009</v>
      </c>
      <c r="T135">
        <f t="shared" si="11"/>
        <v>-0.30576749763048516</v>
      </c>
    </row>
    <row r="136" spans="1:20" x14ac:dyDescent="0.3">
      <c r="A136" s="2">
        <v>45717</v>
      </c>
      <c r="B136" t="s">
        <v>26</v>
      </c>
      <c r="C136">
        <v>3379</v>
      </c>
      <c r="D136">
        <v>2941.54</v>
      </c>
      <c r="E136">
        <v>2396.89</v>
      </c>
      <c r="F136">
        <v>3769.2256925810002</v>
      </c>
      <c r="G136">
        <v>4415.348</v>
      </c>
      <c r="H136">
        <v>2669.2150000000001</v>
      </c>
      <c r="I136">
        <v>3769.2256925810002</v>
      </c>
      <c r="J136">
        <v>2662.4962375044001</v>
      </c>
      <c r="K136">
        <v>4787.7892608739003</v>
      </c>
      <c r="L136">
        <v>4115.5674281467</v>
      </c>
      <c r="M136">
        <v>-346.34173556569999</v>
      </c>
      <c r="N136">
        <v>9.57</v>
      </c>
      <c r="O136">
        <v>3055.6297</v>
      </c>
      <c r="P136">
        <v>3702.3703</v>
      </c>
      <c r="Q136">
        <f t="shared" si="8"/>
        <v>982.11000000000013</v>
      </c>
      <c r="R136">
        <f t="shared" si="9"/>
        <v>0.29065108020124303</v>
      </c>
      <c r="S136">
        <f t="shared" si="10"/>
        <v>-390.2256925810002</v>
      </c>
      <c r="T136">
        <f t="shared" si="11"/>
        <v>-0.1154855556617343</v>
      </c>
    </row>
    <row r="137" spans="1:20" x14ac:dyDescent="0.3">
      <c r="A137" s="2">
        <v>45748</v>
      </c>
      <c r="B137" t="s">
        <v>26</v>
      </c>
      <c r="C137">
        <v>3278</v>
      </c>
      <c r="D137">
        <v>2932.6</v>
      </c>
      <c r="E137">
        <v>3891.4</v>
      </c>
      <c r="F137">
        <v>4115.5281372943</v>
      </c>
      <c r="G137">
        <v>4631.3500000000004</v>
      </c>
      <c r="H137">
        <v>3412</v>
      </c>
      <c r="I137">
        <v>4115.5281372943</v>
      </c>
      <c r="J137">
        <v>3064.8505660681999</v>
      </c>
      <c r="K137">
        <v>5134.6453493730996</v>
      </c>
      <c r="L137">
        <v>4089.6904057492002</v>
      </c>
      <c r="M137">
        <v>25.837731545099999</v>
      </c>
      <c r="N137">
        <v>9.57</v>
      </c>
      <c r="O137">
        <v>2964.2954</v>
      </c>
      <c r="P137">
        <v>3591.7046</v>
      </c>
      <c r="Q137">
        <f t="shared" si="8"/>
        <v>-613.40000000000009</v>
      </c>
      <c r="R137">
        <f t="shared" si="9"/>
        <v>-0.1871262965222697</v>
      </c>
      <c r="S137">
        <f t="shared" si="10"/>
        <v>-837.5281372943</v>
      </c>
      <c r="T137">
        <f t="shared" si="11"/>
        <v>-0.25549973681949362</v>
      </c>
    </row>
    <row r="138" spans="1:20" x14ac:dyDescent="0.3">
      <c r="A138" s="2">
        <v>45778</v>
      </c>
      <c r="B138" t="s">
        <v>26</v>
      </c>
      <c r="C138">
        <v>3449</v>
      </c>
      <c r="D138">
        <v>3479.2</v>
      </c>
      <c r="E138">
        <v>3951.38</v>
      </c>
      <c r="F138">
        <v>3454.9195487187999</v>
      </c>
      <c r="G138">
        <v>4024.0279999999998</v>
      </c>
      <c r="H138">
        <v>3715.29</v>
      </c>
      <c r="I138">
        <v>3454.9195487187999</v>
      </c>
      <c r="J138">
        <v>2418.8495000840999</v>
      </c>
      <c r="K138">
        <v>4502.1130120608004</v>
      </c>
      <c r="L138">
        <v>4064.6481260096998</v>
      </c>
      <c r="M138">
        <v>-609.72857729090003</v>
      </c>
      <c r="N138">
        <v>9.57</v>
      </c>
      <c r="O138">
        <v>3118.9306999999999</v>
      </c>
      <c r="P138">
        <v>3779.0693000000001</v>
      </c>
      <c r="Q138">
        <f t="shared" si="8"/>
        <v>-502.38000000000011</v>
      </c>
      <c r="R138">
        <f t="shared" si="9"/>
        <v>-0.1456596114815889</v>
      </c>
      <c r="S138">
        <f t="shared" si="10"/>
        <v>-5.9195487187998879</v>
      </c>
      <c r="T138">
        <f t="shared" si="11"/>
        <v>-1.7163087036242064E-3</v>
      </c>
    </row>
    <row r="139" spans="1:20" x14ac:dyDescent="0.3">
      <c r="A139" s="2">
        <v>45809</v>
      </c>
      <c r="B139" t="s">
        <v>26</v>
      </c>
      <c r="C139">
        <v>2765</v>
      </c>
      <c r="D139">
        <v>2829.82</v>
      </c>
      <c r="E139">
        <v>4494.17</v>
      </c>
      <c r="F139">
        <v>3379.8302068502999</v>
      </c>
      <c r="G139">
        <v>3815.864</v>
      </c>
      <c r="H139">
        <v>3661.9949999999999</v>
      </c>
      <c r="I139">
        <v>3379.8302068502999</v>
      </c>
      <c r="J139">
        <v>2291.1688264591999</v>
      </c>
      <c r="K139">
        <v>4406.0028042627</v>
      </c>
      <c r="L139">
        <v>4038.7711036122</v>
      </c>
      <c r="M139">
        <v>-658.94089676190004</v>
      </c>
      <c r="N139">
        <v>9.57</v>
      </c>
      <c r="O139">
        <v>2500.3895000000002</v>
      </c>
      <c r="P139">
        <v>3029.6104999999998</v>
      </c>
      <c r="Q139">
        <f t="shared" si="8"/>
        <v>-1729.17</v>
      </c>
      <c r="R139">
        <f t="shared" si="9"/>
        <v>-0.62537793851717904</v>
      </c>
      <c r="S139">
        <f t="shared" si="10"/>
        <v>-614.83020685029987</v>
      </c>
      <c r="T139">
        <f t="shared" si="11"/>
        <v>-0.22236173846303792</v>
      </c>
    </row>
    <row r="140" spans="1:20" x14ac:dyDescent="0.3">
      <c r="A140" s="2">
        <v>45839</v>
      </c>
      <c r="B140" t="s">
        <v>26</v>
      </c>
      <c r="C140">
        <v>3294</v>
      </c>
      <c r="D140">
        <v>3304.53</v>
      </c>
      <c r="E140">
        <v>3737.89</v>
      </c>
      <c r="F140">
        <v>3888.8158862352002</v>
      </c>
      <c r="G140">
        <v>4601.5060000000003</v>
      </c>
      <c r="H140">
        <v>3521.21</v>
      </c>
      <c r="I140">
        <v>3888.8158862352002</v>
      </c>
      <c r="J140">
        <v>2775.1614875256</v>
      </c>
      <c r="K140">
        <v>4925.3284804769</v>
      </c>
      <c r="L140">
        <v>4013.7288238727001</v>
      </c>
      <c r="M140">
        <v>-124.91293763749999</v>
      </c>
      <c r="N140">
        <v>9.57</v>
      </c>
      <c r="O140">
        <v>2978.7642000000001</v>
      </c>
      <c r="P140">
        <v>3609.235799999999</v>
      </c>
      <c r="Q140">
        <f t="shared" si="8"/>
        <v>-443.88999999999987</v>
      </c>
      <c r="R140">
        <f t="shared" si="9"/>
        <v>-0.13475713418336366</v>
      </c>
      <c r="S140">
        <f t="shared" si="10"/>
        <v>-594.8158862352002</v>
      </c>
      <c r="T140">
        <f t="shared" si="11"/>
        <v>-0.1805755574484518</v>
      </c>
    </row>
    <row r="141" spans="1:20" x14ac:dyDescent="0.3">
      <c r="A141" s="2">
        <v>45870</v>
      </c>
      <c r="B141" t="s">
        <v>26</v>
      </c>
      <c r="C141">
        <v>3487</v>
      </c>
      <c r="D141">
        <v>3567.93</v>
      </c>
      <c r="E141">
        <v>4259.5600000000004</v>
      </c>
      <c r="F141">
        <v>3525.7303553874999</v>
      </c>
      <c r="G141">
        <v>4306.6899999999996</v>
      </c>
      <c r="H141">
        <v>3913.7449999999999</v>
      </c>
      <c r="I141">
        <v>3525.7303553874999</v>
      </c>
      <c r="J141">
        <v>2494.7992248931</v>
      </c>
      <c r="K141">
        <v>4567.6113097726002</v>
      </c>
      <c r="L141">
        <v>3987.8518014752999</v>
      </c>
      <c r="M141">
        <v>-462.12144608770001</v>
      </c>
      <c r="N141">
        <v>9.57</v>
      </c>
      <c r="O141">
        <v>3153.2941000000001</v>
      </c>
      <c r="P141">
        <v>3820.705899999999</v>
      </c>
      <c r="Q141">
        <f t="shared" si="8"/>
        <v>-772.5600000000004</v>
      </c>
      <c r="R141">
        <f t="shared" si="9"/>
        <v>-0.22155434470891897</v>
      </c>
      <c r="S141">
        <f t="shared" si="10"/>
        <v>-38.730355387499912</v>
      </c>
      <c r="T141">
        <f t="shared" si="11"/>
        <v>-1.11070706588758E-2</v>
      </c>
    </row>
    <row r="142" spans="1:20" x14ac:dyDescent="0.3">
      <c r="A142" s="2">
        <v>45901</v>
      </c>
      <c r="B142" t="s">
        <v>26</v>
      </c>
      <c r="C142">
        <v>5239</v>
      </c>
      <c r="D142">
        <v>6216.4</v>
      </c>
      <c r="E142">
        <v>3249.14</v>
      </c>
      <c r="F142">
        <v>4127.6502266178004</v>
      </c>
      <c r="G142">
        <v>4822.5200000000004</v>
      </c>
      <c r="H142">
        <v>4732.7700000000004</v>
      </c>
      <c r="I142">
        <v>4127.6502266178004</v>
      </c>
      <c r="J142">
        <v>3038.9526268398999</v>
      </c>
      <c r="K142">
        <v>5202.0711385559998</v>
      </c>
      <c r="L142">
        <v>3961.9747790778001</v>
      </c>
      <c r="M142">
        <v>165.67544753999999</v>
      </c>
      <c r="N142">
        <v>9.57</v>
      </c>
      <c r="O142">
        <v>4737.6277</v>
      </c>
      <c r="P142">
        <v>5740.3722999999991</v>
      </c>
      <c r="Q142">
        <f t="shared" si="8"/>
        <v>1989.8600000000001</v>
      </c>
      <c r="R142">
        <f t="shared" si="9"/>
        <v>0.37981675892345867</v>
      </c>
      <c r="S142">
        <f t="shared" si="10"/>
        <v>1111.3497733821996</v>
      </c>
      <c r="T142">
        <f t="shared" si="11"/>
        <v>0.21213013425886612</v>
      </c>
    </row>
    <row r="143" spans="1:20" x14ac:dyDescent="0.3">
      <c r="A143" s="2">
        <v>45931</v>
      </c>
      <c r="B143" t="s">
        <v>26</v>
      </c>
      <c r="C143">
        <v>4433</v>
      </c>
      <c r="E143">
        <v>5636.13</v>
      </c>
      <c r="F143">
        <v>4683.8806283631002</v>
      </c>
      <c r="G143">
        <v>5289.0874999999996</v>
      </c>
      <c r="H143">
        <v>5437</v>
      </c>
      <c r="I143">
        <v>4683.8806283631002</v>
      </c>
      <c r="J143">
        <v>3559.2089888117998</v>
      </c>
      <c r="K143">
        <v>5693.4392142317001</v>
      </c>
      <c r="L143">
        <v>3936.9324993383002</v>
      </c>
      <c r="M143">
        <v>746.94812902479998</v>
      </c>
      <c r="N143">
        <v>9.57</v>
      </c>
      <c r="O143">
        <v>4008.7619</v>
      </c>
      <c r="P143">
        <v>4857.2380999999996</v>
      </c>
      <c r="Q143">
        <f t="shared" si="8"/>
        <v>-1203.1300000000001</v>
      </c>
      <c r="R143">
        <f t="shared" si="9"/>
        <v>-0.27140311301601627</v>
      </c>
      <c r="S143">
        <f t="shared" si="10"/>
        <v>-250.88062836310019</v>
      </c>
      <c r="T143">
        <f t="shared" si="11"/>
        <v>-5.6593870598488652E-2</v>
      </c>
    </row>
    <row r="144" spans="1:20" x14ac:dyDescent="0.3">
      <c r="A144" s="2">
        <v>45962</v>
      </c>
      <c r="B144" t="s">
        <v>26</v>
      </c>
      <c r="C144">
        <v>4271</v>
      </c>
      <c r="E144">
        <v>4925.84</v>
      </c>
      <c r="F144">
        <v>3743.1854059898001</v>
      </c>
      <c r="G144">
        <v>4399.3999999999996</v>
      </c>
      <c r="H144">
        <v>4202.34</v>
      </c>
      <c r="I144">
        <v>3743.1854059898001</v>
      </c>
      <c r="J144">
        <v>2732.4656626471001</v>
      </c>
      <c r="K144">
        <v>4779.0129189585004</v>
      </c>
      <c r="L144">
        <v>3911.0554769408</v>
      </c>
      <c r="M144">
        <v>-167.870070951</v>
      </c>
      <c r="N144">
        <v>9.57</v>
      </c>
      <c r="O144">
        <v>3862.2653</v>
      </c>
      <c r="P144">
        <v>4679.7347</v>
      </c>
      <c r="Q144">
        <f t="shared" si="8"/>
        <v>-654.84000000000015</v>
      </c>
      <c r="R144">
        <f t="shared" si="9"/>
        <v>-0.15332240693046129</v>
      </c>
      <c r="S144">
        <f t="shared" si="10"/>
        <v>527.81459401019993</v>
      </c>
      <c r="T144">
        <f t="shared" si="11"/>
        <v>0.12358103348400841</v>
      </c>
    </row>
    <row r="145" spans="1:20" x14ac:dyDescent="0.3">
      <c r="A145" s="2">
        <v>45992</v>
      </c>
      <c r="B145" t="s">
        <v>26</v>
      </c>
      <c r="C145">
        <v>3655</v>
      </c>
      <c r="E145">
        <v>4758.3900000000003</v>
      </c>
      <c r="F145">
        <v>4077.8575319806</v>
      </c>
      <c r="G145">
        <v>4750.1149999999998</v>
      </c>
      <c r="H145">
        <v>4722.7550000000001</v>
      </c>
      <c r="I145">
        <v>4077.8575319806</v>
      </c>
      <c r="J145">
        <v>2978.4349627995998</v>
      </c>
      <c r="K145">
        <v>5156.8139260157996</v>
      </c>
      <c r="L145">
        <v>3886.0131972013</v>
      </c>
      <c r="M145">
        <v>191.8443347793</v>
      </c>
      <c r="N145">
        <v>9.57</v>
      </c>
      <c r="O145">
        <v>3305.2165</v>
      </c>
      <c r="P145">
        <v>4004.7835</v>
      </c>
      <c r="Q145">
        <f t="shared" si="8"/>
        <v>-1103.3900000000003</v>
      </c>
      <c r="R145">
        <f t="shared" si="9"/>
        <v>-0.30188508891928872</v>
      </c>
      <c r="S145">
        <f t="shared" si="10"/>
        <v>-422.85753198060002</v>
      </c>
      <c r="T145">
        <f t="shared" si="11"/>
        <v>-0.11569289520673051</v>
      </c>
    </row>
    <row r="146" spans="1:20" x14ac:dyDescent="0.3">
      <c r="A146" s="2">
        <v>45658</v>
      </c>
      <c r="B146" t="s">
        <v>27</v>
      </c>
      <c r="C146">
        <v>544</v>
      </c>
      <c r="D146">
        <v>401.69</v>
      </c>
      <c r="E146">
        <v>313.5</v>
      </c>
      <c r="F146">
        <v>619.35444049789999</v>
      </c>
      <c r="G146">
        <v>528.08600000000001</v>
      </c>
      <c r="H146">
        <v>357.59500000000003</v>
      </c>
      <c r="I146">
        <v>619.35444049789999</v>
      </c>
      <c r="J146">
        <v>271.3766750982</v>
      </c>
      <c r="K146">
        <v>939.49430517630003</v>
      </c>
      <c r="L146">
        <v>608.69946160330005</v>
      </c>
      <c r="M146">
        <v>10.654978894599999</v>
      </c>
      <c r="N146">
        <v>22.77</v>
      </c>
      <c r="O146">
        <v>420.13119999999998</v>
      </c>
      <c r="P146">
        <v>667.86879999999996</v>
      </c>
      <c r="Q146">
        <f t="shared" si="8"/>
        <v>230.5</v>
      </c>
      <c r="R146">
        <f t="shared" si="9"/>
        <v>0.42371323529411764</v>
      </c>
      <c r="S146">
        <f t="shared" si="10"/>
        <v>-75.354440497899986</v>
      </c>
      <c r="T146">
        <f t="shared" si="11"/>
        <v>-0.13851919209172792</v>
      </c>
    </row>
    <row r="147" spans="1:20" x14ac:dyDescent="0.3">
      <c r="A147" s="2">
        <v>45689</v>
      </c>
      <c r="B147" t="s">
        <v>27</v>
      </c>
      <c r="C147">
        <v>532</v>
      </c>
      <c r="D147">
        <v>624.17999999999995</v>
      </c>
      <c r="E147">
        <v>555.14</v>
      </c>
      <c r="F147">
        <v>547.04456597180001</v>
      </c>
      <c r="G147">
        <v>424.09800000000001</v>
      </c>
      <c r="H147">
        <v>589.66</v>
      </c>
      <c r="I147">
        <v>547.04456597180001</v>
      </c>
      <c r="J147">
        <v>184.42104431289999</v>
      </c>
      <c r="K147">
        <v>890.52057840839996</v>
      </c>
      <c r="L147">
        <v>612.73357828769997</v>
      </c>
      <c r="M147">
        <v>-65.689012315900001</v>
      </c>
      <c r="N147">
        <v>22.77</v>
      </c>
      <c r="O147">
        <v>410.86360000000002</v>
      </c>
      <c r="P147">
        <v>653.13639999999998</v>
      </c>
      <c r="Q147">
        <f t="shared" si="8"/>
        <v>-23.139999999999986</v>
      </c>
      <c r="R147">
        <f t="shared" si="9"/>
        <v>-4.3496240601503734E-2</v>
      </c>
      <c r="S147">
        <f t="shared" si="10"/>
        <v>-15.044565971800012</v>
      </c>
      <c r="T147">
        <f t="shared" si="11"/>
        <v>-2.8279259345488743E-2</v>
      </c>
    </row>
    <row r="148" spans="1:20" x14ac:dyDescent="0.3">
      <c r="A148" s="2">
        <v>45717</v>
      </c>
      <c r="B148" t="s">
        <v>27</v>
      </c>
      <c r="C148">
        <v>648</v>
      </c>
      <c r="D148">
        <v>613.87</v>
      </c>
      <c r="E148">
        <v>858.45</v>
      </c>
      <c r="F148">
        <v>730.46732458780002</v>
      </c>
      <c r="G148">
        <v>574.16200000000003</v>
      </c>
      <c r="H148">
        <v>736.16</v>
      </c>
      <c r="I148">
        <v>730.46732458780002</v>
      </c>
      <c r="J148">
        <v>368.80675893749998</v>
      </c>
      <c r="K148">
        <v>1091.9984777233999</v>
      </c>
      <c r="L148">
        <v>616.37729658329999</v>
      </c>
      <c r="M148">
        <v>114.0900280045</v>
      </c>
      <c r="N148">
        <v>22.77</v>
      </c>
      <c r="O148">
        <v>500.4504</v>
      </c>
      <c r="P148">
        <v>795.54960000000005</v>
      </c>
      <c r="Q148">
        <f t="shared" si="8"/>
        <v>-210.45000000000005</v>
      </c>
      <c r="R148">
        <f t="shared" si="9"/>
        <v>-0.32476851851851857</v>
      </c>
      <c r="S148">
        <f t="shared" si="10"/>
        <v>-82.467324587800022</v>
      </c>
      <c r="T148">
        <f t="shared" si="11"/>
        <v>-0.1272643897959877</v>
      </c>
    </row>
    <row r="149" spans="1:20" x14ac:dyDescent="0.3">
      <c r="A149" s="2">
        <v>45748</v>
      </c>
      <c r="B149" t="s">
        <v>27</v>
      </c>
      <c r="C149">
        <v>337</v>
      </c>
      <c r="D149">
        <v>315.33</v>
      </c>
      <c r="E149">
        <v>1032.74</v>
      </c>
      <c r="F149">
        <v>684.58142937740001</v>
      </c>
      <c r="G149">
        <v>631.14599999999996</v>
      </c>
      <c r="H149">
        <v>674.03499999999997</v>
      </c>
      <c r="I149">
        <v>684.58142937740001</v>
      </c>
      <c r="J149">
        <v>328.83780570099998</v>
      </c>
      <c r="K149">
        <v>1036.407944516</v>
      </c>
      <c r="L149">
        <v>620.41141326770003</v>
      </c>
      <c r="M149">
        <v>64.170016109700001</v>
      </c>
      <c r="N149">
        <v>22.77</v>
      </c>
      <c r="O149">
        <v>260.26510000000002</v>
      </c>
      <c r="P149">
        <v>413.73489999999998</v>
      </c>
      <c r="Q149">
        <f t="shared" si="8"/>
        <v>-695.74</v>
      </c>
      <c r="R149">
        <f t="shared" si="9"/>
        <v>-2.0645103857566767</v>
      </c>
      <c r="S149">
        <f t="shared" si="10"/>
        <v>-347.58142937740001</v>
      </c>
      <c r="T149">
        <f t="shared" si="11"/>
        <v>-1.0313989002296737</v>
      </c>
    </row>
    <row r="150" spans="1:20" x14ac:dyDescent="0.3">
      <c r="A150" s="2">
        <v>45778</v>
      </c>
      <c r="B150" t="s">
        <v>27</v>
      </c>
      <c r="C150">
        <v>203</v>
      </c>
      <c r="D150">
        <v>192.34</v>
      </c>
      <c r="E150">
        <v>326.92</v>
      </c>
      <c r="F150">
        <v>310.00837499260001</v>
      </c>
      <c r="G150">
        <v>265.35000000000002</v>
      </c>
      <c r="H150">
        <v>259.63</v>
      </c>
      <c r="I150">
        <v>310.00837499260001</v>
      </c>
      <c r="J150">
        <v>-38.883545578499998</v>
      </c>
      <c r="K150">
        <v>638.05827801400005</v>
      </c>
      <c r="L150">
        <v>624.31539715589997</v>
      </c>
      <c r="M150">
        <v>-314.30702216330002</v>
      </c>
      <c r="N150">
        <v>22.77</v>
      </c>
      <c r="O150">
        <v>156.77690000000001</v>
      </c>
      <c r="P150">
        <v>249.22309999999999</v>
      </c>
      <c r="Q150">
        <f t="shared" si="8"/>
        <v>-123.92000000000002</v>
      </c>
      <c r="R150">
        <f t="shared" si="9"/>
        <v>-0.61044334975369463</v>
      </c>
      <c r="S150">
        <f t="shared" si="10"/>
        <v>-107.00837499260001</v>
      </c>
      <c r="T150">
        <f t="shared" si="11"/>
        <v>-0.52713485218029565</v>
      </c>
    </row>
    <row r="151" spans="1:20" x14ac:dyDescent="0.3">
      <c r="A151" s="2">
        <v>45809</v>
      </c>
      <c r="B151" t="s">
        <v>27</v>
      </c>
      <c r="C151">
        <v>220</v>
      </c>
      <c r="D151">
        <v>254.69</v>
      </c>
      <c r="E151">
        <v>1015</v>
      </c>
      <c r="F151">
        <v>641.47487081029999</v>
      </c>
      <c r="G151">
        <v>563.75599999999997</v>
      </c>
      <c r="H151">
        <v>634.84500000000003</v>
      </c>
      <c r="I151">
        <v>641.47487081029999</v>
      </c>
      <c r="J151">
        <v>285.0402635602</v>
      </c>
      <c r="K151">
        <v>959.89833811560004</v>
      </c>
      <c r="L151">
        <v>628.34951384030001</v>
      </c>
      <c r="M151">
        <v>13.12535697</v>
      </c>
      <c r="N151">
        <v>22.77</v>
      </c>
      <c r="O151">
        <v>169.90600000000001</v>
      </c>
      <c r="P151">
        <v>270.09399999999999</v>
      </c>
      <c r="Q151">
        <f t="shared" si="8"/>
        <v>-795</v>
      </c>
      <c r="R151">
        <f t="shared" si="9"/>
        <v>-3.6136363636363638</v>
      </c>
      <c r="S151">
        <f t="shared" si="10"/>
        <v>-421.47487081029999</v>
      </c>
      <c r="T151">
        <f t="shared" si="11"/>
        <v>-1.9157948673195455</v>
      </c>
    </row>
    <row r="152" spans="1:20" x14ac:dyDescent="0.3">
      <c r="A152" s="2">
        <v>45839</v>
      </c>
      <c r="B152" t="s">
        <v>27</v>
      </c>
      <c r="C152">
        <v>511</v>
      </c>
      <c r="D152">
        <v>863.55</v>
      </c>
      <c r="E152">
        <v>1736.98</v>
      </c>
      <c r="F152">
        <v>941.54414587400004</v>
      </c>
      <c r="G152">
        <v>804.19</v>
      </c>
      <c r="H152">
        <v>1300.2650000000001</v>
      </c>
      <c r="I152">
        <v>941.54414587400004</v>
      </c>
      <c r="J152">
        <v>576.22243287809999</v>
      </c>
      <c r="K152">
        <v>1279.8375061070999</v>
      </c>
      <c r="L152">
        <v>632.25349772849995</v>
      </c>
      <c r="M152">
        <v>309.29064814560002</v>
      </c>
      <c r="N152">
        <v>22.77</v>
      </c>
      <c r="O152">
        <v>394.64530000000002</v>
      </c>
      <c r="P152">
        <v>627.35469999999998</v>
      </c>
      <c r="Q152">
        <f t="shared" si="8"/>
        <v>-1225.98</v>
      </c>
      <c r="R152">
        <f t="shared" si="9"/>
        <v>-2.399178082191781</v>
      </c>
      <c r="S152">
        <f t="shared" si="10"/>
        <v>-430.54414587400004</v>
      </c>
      <c r="T152">
        <f t="shared" si="11"/>
        <v>-0.8425521445675147</v>
      </c>
    </row>
    <row r="153" spans="1:20" x14ac:dyDescent="0.3">
      <c r="A153" s="2">
        <v>45870</v>
      </c>
      <c r="B153" t="s">
        <v>27</v>
      </c>
      <c r="C153">
        <v>538</v>
      </c>
      <c r="D153">
        <v>484.47</v>
      </c>
      <c r="E153">
        <v>1208.76</v>
      </c>
      <c r="F153">
        <v>646.40432609729999</v>
      </c>
      <c r="G153">
        <v>507.536</v>
      </c>
      <c r="H153">
        <v>846.61500000000001</v>
      </c>
      <c r="I153">
        <v>646.40432609729999</v>
      </c>
      <c r="J153">
        <v>285.900097501</v>
      </c>
      <c r="K153">
        <v>994.09219688040002</v>
      </c>
      <c r="L153">
        <v>636.28761441289998</v>
      </c>
      <c r="M153">
        <v>10.1167116844</v>
      </c>
      <c r="N153">
        <v>22.77</v>
      </c>
      <c r="O153">
        <v>415.49740000000003</v>
      </c>
      <c r="P153">
        <v>660.50260000000003</v>
      </c>
      <c r="Q153">
        <f t="shared" si="8"/>
        <v>-670.76</v>
      </c>
      <c r="R153">
        <f t="shared" si="9"/>
        <v>-1.2467657992565055</v>
      </c>
      <c r="S153">
        <f t="shared" si="10"/>
        <v>-108.40432609729999</v>
      </c>
      <c r="T153">
        <f t="shared" si="11"/>
        <v>-0.20149502992063195</v>
      </c>
    </row>
    <row r="154" spans="1:20" x14ac:dyDescent="0.3">
      <c r="A154" s="2">
        <v>45901</v>
      </c>
      <c r="B154" t="s">
        <v>27</v>
      </c>
      <c r="C154">
        <v>492</v>
      </c>
      <c r="D154">
        <v>367.51</v>
      </c>
      <c r="E154">
        <v>581.91999999999996</v>
      </c>
      <c r="F154">
        <v>555.40516309880002</v>
      </c>
      <c r="G154">
        <v>450.91</v>
      </c>
      <c r="H154">
        <v>474.71499999999997</v>
      </c>
      <c r="I154">
        <v>555.40516309880002</v>
      </c>
      <c r="J154">
        <v>194.0444278791</v>
      </c>
      <c r="K154">
        <v>911.01883777080002</v>
      </c>
      <c r="L154">
        <v>640.32173109730002</v>
      </c>
      <c r="M154">
        <v>-84.9165679985</v>
      </c>
      <c r="N154">
        <v>22.77</v>
      </c>
      <c r="O154">
        <v>379.97160000000002</v>
      </c>
      <c r="P154">
        <v>604.02840000000003</v>
      </c>
      <c r="Q154">
        <f t="shared" si="8"/>
        <v>-89.919999999999959</v>
      </c>
      <c r="R154">
        <f t="shared" si="9"/>
        <v>-0.18276422764227634</v>
      </c>
      <c r="S154">
        <f t="shared" si="10"/>
        <v>-63.405163098800017</v>
      </c>
      <c r="T154">
        <f t="shared" si="11"/>
        <v>-0.12887228272113824</v>
      </c>
    </row>
    <row r="155" spans="1:20" x14ac:dyDescent="0.3">
      <c r="A155" s="2">
        <v>45931</v>
      </c>
      <c r="B155" t="s">
        <v>27</v>
      </c>
      <c r="C155">
        <v>314</v>
      </c>
      <c r="E155">
        <v>337.27</v>
      </c>
      <c r="F155">
        <v>433.51820894180003</v>
      </c>
      <c r="G155">
        <v>391.70499999999998</v>
      </c>
      <c r="H155">
        <v>365.29</v>
      </c>
      <c r="I155">
        <v>433.51820894180003</v>
      </c>
      <c r="J155">
        <v>81.167682685299994</v>
      </c>
      <c r="K155">
        <v>791.00983835379998</v>
      </c>
      <c r="L155">
        <v>644.22571498549996</v>
      </c>
      <c r="M155">
        <v>-210.70750604369999</v>
      </c>
      <c r="N155">
        <v>22.77</v>
      </c>
      <c r="O155">
        <v>242.50219999999999</v>
      </c>
      <c r="P155">
        <v>385.49779999999998</v>
      </c>
      <c r="Q155">
        <f t="shared" si="8"/>
        <v>-23.269999999999982</v>
      </c>
      <c r="R155">
        <f t="shared" si="9"/>
        <v>-7.4108280254777018E-2</v>
      </c>
      <c r="S155">
        <f t="shared" si="10"/>
        <v>-119.51820894180003</v>
      </c>
      <c r="T155">
        <f t="shared" si="11"/>
        <v>-0.38063123866815296</v>
      </c>
    </row>
    <row r="156" spans="1:20" x14ac:dyDescent="0.3">
      <c r="A156" s="2">
        <v>45962</v>
      </c>
      <c r="B156" t="s">
        <v>27</v>
      </c>
      <c r="C156">
        <v>518</v>
      </c>
      <c r="E156">
        <v>1099.56</v>
      </c>
      <c r="F156">
        <v>846.45681168550004</v>
      </c>
      <c r="G156">
        <v>703.32500000000005</v>
      </c>
      <c r="H156">
        <v>794.95</v>
      </c>
      <c r="I156">
        <v>846.45681168550004</v>
      </c>
      <c r="J156">
        <v>493.34247304349998</v>
      </c>
      <c r="K156">
        <v>1183.0448344956999</v>
      </c>
      <c r="L156">
        <v>648.2598316699</v>
      </c>
      <c r="M156">
        <v>198.19698001559999</v>
      </c>
      <c r="N156">
        <v>22.77</v>
      </c>
      <c r="O156">
        <v>400.0514</v>
      </c>
      <c r="P156">
        <v>635.94860000000006</v>
      </c>
      <c r="Q156">
        <f t="shared" si="8"/>
        <v>-581.55999999999995</v>
      </c>
      <c r="R156">
        <f t="shared" si="9"/>
        <v>-1.1227027027027026</v>
      </c>
      <c r="S156">
        <f t="shared" si="10"/>
        <v>-328.45681168550004</v>
      </c>
      <c r="T156">
        <f t="shared" si="11"/>
        <v>-0.6340865090453669</v>
      </c>
    </row>
    <row r="157" spans="1:20" x14ac:dyDescent="0.3">
      <c r="A157" s="2">
        <v>45992</v>
      </c>
      <c r="B157" t="s">
        <v>27</v>
      </c>
      <c r="C157">
        <v>383</v>
      </c>
      <c r="E157">
        <v>362.11</v>
      </c>
      <c r="F157">
        <v>555.74759854169997</v>
      </c>
      <c r="G157">
        <v>463.61500000000001</v>
      </c>
      <c r="H157">
        <v>312.62</v>
      </c>
      <c r="I157">
        <v>555.74759854169997</v>
      </c>
      <c r="J157">
        <v>182.3803555904</v>
      </c>
      <c r="K157">
        <v>886.45205266959999</v>
      </c>
      <c r="L157">
        <v>652.16381555810005</v>
      </c>
      <c r="M157">
        <v>-96.416217016399997</v>
      </c>
      <c r="N157">
        <v>22.77</v>
      </c>
      <c r="O157">
        <v>295.79090000000002</v>
      </c>
      <c r="P157">
        <v>470.20909999999998</v>
      </c>
      <c r="Q157">
        <f t="shared" si="8"/>
        <v>20.889999999999986</v>
      </c>
      <c r="R157">
        <f t="shared" si="9"/>
        <v>5.4543080939947745E-2</v>
      </c>
      <c r="S157">
        <f t="shared" si="10"/>
        <v>-172.74759854169997</v>
      </c>
      <c r="T157">
        <f t="shared" si="11"/>
        <v>-0.45103811629686674</v>
      </c>
    </row>
    <row r="158" spans="1:20" x14ac:dyDescent="0.3">
      <c r="A158" s="2">
        <v>45658</v>
      </c>
      <c r="B158" t="s">
        <v>28</v>
      </c>
      <c r="C158">
        <v>4513</v>
      </c>
      <c r="D158">
        <v>4671.08</v>
      </c>
      <c r="E158">
        <v>4399.13</v>
      </c>
      <c r="F158">
        <v>5191.9687603201</v>
      </c>
      <c r="G158">
        <v>5599.07</v>
      </c>
      <c r="H158">
        <v>4535.1049999999996</v>
      </c>
      <c r="I158">
        <v>5191.9687603201</v>
      </c>
      <c r="J158">
        <v>3950.2385040331001</v>
      </c>
      <c r="K158">
        <v>6337.2623784109001</v>
      </c>
      <c r="L158">
        <v>3913.2130650212998</v>
      </c>
      <c r="M158">
        <v>1278.7556952986999</v>
      </c>
      <c r="N158">
        <v>8.98</v>
      </c>
      <c r="O158">
        <v>4107.7326000000003</v>
      </c>
      <c r="P158">
        <v>4918.2674000000006</v>
      </c>
      <c r="Q158">
        <f t="shared" si="8"/>
        <v>113.86999999999989</v>
      </c>
      <c r="R158">
        <f t="shared" si="9"/>
        <v>2.5231553290494105E-2</v>
      </c>
      <c r="S158">
        <f t="shared" si="10"/>
        <v>-678.96876032010005</v>
      </c>
      <c r="T158">
        <f t="shared" si="11"/>
        <v>-0.1504473211433858</v>
      </c>
    </row>
    <row r="159" spans="1:20" x14ac:dyDescent="0.3">
      <c r="A159" s="2">
        <v>45689</v>
      </c>
      <c r="B159" t="s">
        <v>28</v>
      </c>
      <c r="C159">
        <v>4574</v>
      </c>
      <c r="D159">
        <v>4697.5</v>
      </c>
      <c r="E159">
        <v>5375.28</v>
      </c>
      <c r="F159">
        <v>4418.9765184939997</v>
      </c>
      <c r="G159">
        <v>4937.2520000000004</v>
      </c>
      <c r="H159">
        <v>5036.3900000000003</v>
      </c>
      <c r="I159">
        <v>4418.9765184939997</v>
      </c>
      <c r="J159">
        <v>3235.9032815436999</v>
      </c>
      <c r="K159">
        <v>5692.5146040644004</v>
      </c>
      <c r="L159">
        <v>3879.8269674755002</v>
      </c>
      <c r="M159">
        <v>539.14955101850001</v>
      </c>
      <c r="N159">
        <v>8.98</v>
      </c>
      <c r="O159">
        <v>4163.2547999999997</v>
      </c>
      <c r="P159">
        <v>4984.7452000000003</v>
      </c>
      <c r="Q159">
        <f t="shared" si="8"/>
        <v>-801.27999999999975</v>
      </c>
      <c r="R159">
        <f t="shared" si="9"/>
        <v>-0.17518146042850891</v>
      </c>
      <c r="S159">
        <f t="shared" si="10"/>
        <v>155.02348150600028</v>
      </c>
      <c r="T159">
        <f t="shared" si="11"/>
        <v>3.3892322148229181E-2</v>
      </c>
    </row>
    <row r="160" spans="1:20" x14ac:dyDescent="0.3">
      <c r="A160" s="2">
        <v>45717</v>
      </c>
      <c r="B160" t="s">
        <v>28</v>
      </c>
      <c r="C160">
        <v>5310</v>
      </c>
      <c r="D160">
        <v>6445.95</v>
      </c>
      <c r="E160">
        <v>5449.72</v>
      </c>
      <c r="F160">
        <v>5126.4805210196</v>
      </c>
      <c r="G160">
        <v>5815.866</v>
      </c>
      <c r="H160">
        <v>5947.835</v>
      </c>
      <c r="I160">
        <v>5126.4805210196</v>
      </c>
      <c r="J160">
        <v>3850.8524443607998</v>
      </c>
      <c r="K160">
        <v>6309.1423756282002</v>
      </c>
      <c r="L160">
        <v>3849.6717825954001</v>
      </c>
      <c r="M160">
        <v>1276.8087384242001</v>
      </c>
      <c r="N160">
        <v>8.98</v>
      </c>
      <c r="O160">
        <v>4833.1620000000003</v>
      </c>
      <c r="P160">
        <v>5786.8380000000006</v>
      </c>
      <c r="Q160">
        <f t="shared" si="8"/>
        <v>-139.72000000000025</v>
      </c>
      <c r="R160">
        <f t="shared" si="9"/>
        <v>-2.6312617702448259E-2</v>
      </c>
      <c r="S160">
        <f t="shared" si="10"/>
        <v>183.51947898039998</v>
      </c>
      <c r="T160">
        <f t="shared" si="11"/>
        <v>3.4561107152617697E-2</v>
      </c>
    </row>
    <row r="161" spans="1:20" x14ac:dyDescent="0.3">
      <c r="A161" s="2">
        <v>45748</v>
      </c>
      <c r="B161" t="s">
        <v>28</v>
      </c>
      <c r="C161">
        <v>3777</v>
      </c>
      <c r="D161">
        <v>4182.7299999999996</v>
      </c>
      <c r="E161">
        <v>3379.39</v>
      </c>
      <c r="F161">
        <v>3866.4222366201002</v>
      </c>
      <c r="G161">
        <v>4750.6459999999997</v>
      </c>
      <c r="H161">
        <v>3781.06</v>
      </c>
      <c r="I161">
        <v>3866.4222366201002</v>
      </c>
      <c r="J161">
        <v>2711.0412096983</v>
      </c>
      <c r="K161">
        <v>5109.0889628145997</v>
      </c>
      <c r="L161">
        <v>3816.2856850496</v>
      </c>
      <c r="M161">
        <v>50.136551570500004</v>
      </c>
      <c r="N161">
        <v>8.98</v>
      </c>
      <c r="O161">
        <v>3437.8254000000002</v>
      </c>
      <c r="P161">
        <v>4116.1746000000003</v>
      </c>
      <c r="Q161">
        <f t="shared" si="8"/>
        <v>397.61000000000013</v>
      </c>
      <c r="R161">
        <f t="shared" si="9"/>
        <v>0.10527137940164155</v>
      </c>
      <c r="S161">
        <f t="shared" si="10"/>
        <v>-89.422236620100193</v>
      </c>
      <c r="T161">
        <f t="shared" si="11"/>
        <v>-2.3675466407228011E-2</v>
      </c>
    </row>
    <row r="162" spans="1:20" x14ac:dyDescent="0.3">
      <c r="A162" s="2">
        <v>45778</v>
      </c>
      <c r="B162" t="s">
        <v>28</v>
      </c>
      <c r="C162">
        <v>4872</v>
      </c>
      <c r="D162">
        <v>5394.5</v>
      </c>
      <c r="E162">
        <v>3183.3</v>
      </c>
      <c r="F162">
        <v>4902.2109280765999</v>
      </c>
      <c r="G162">
        <v>5801.2640000000001</v>
      </c>
      <c r="H162">
        <v>4288.8999999999996</v>
      </c>
      <c r="I162">
        <v>4902.2109280765999</v>
      </c>
      <c r="J162">
        <v>3642.9812639480001</v>
      </c>
      <c r="K162">
        <v>6080.4164376977997</v>
      </c>
      <c r="L162">
        <v>3783.9765583922999</v>
      </c>
      <c r="M162">
        <v>1118.2343696843</v>
      </c>
      <c r="N162">
        <v>8.98</v>
      </c>
      <c r="O162">
        <v>4434.4943999999996</v>
      </c>
      <c r="P162">
        <v>5309.5056000000004</v>
      </c>
      <c r="Q162">
        <f t="shared" si="8"/>
        <v>1688.6999999999998</v>
      </c>
      <c r="R162">
        <f t="shared" si="9"/>
        <v>0.3466133004926108</v>
      </c>
      <c r="S162">
        <f t="shared" si="10"/>
        <v>-30.210928076599885</v>
      </c>
      <c r="T162">
        <f t="shared" si="11"/>
        <v>-6.2009294081691061E-3</v>
      </c>
    </row>
    <row r="163" spans="1:20" x14ac:dyDescent="0.3">
      <c r="A163" s="2">
        <v>45809</v>
      </c>
      <c r="B163" t="s">
        <v>28</v>
      </c>
      <c r="C163">
        <v>3511</v>
      </c>
      <c r="D163">
        <v>3541.28</v>
      </c>
      <c r="E163">
        <v>3706.16</v>
      </c>
      <c r="F163">
        <v>3627.9209431209001</v>
      </c>
      <c r="G163">
        <v>4433.6360000000004</v>
      </c>
      <c r="H163">
        <v>3623.72</v>
      </c>
      <c r="I163">
        <v>3627.9209431209001</v>
      </c>
      <c r="J163">
        <v>2363.8720233949002</v>
      </c>
      <c r="K163">
        <v>4811.5942327834</v>
      </c>
      <c r="L163">
        <v>3750.5904608464998</v>
      </c>
      <c r="M163">
        <v>-122.6695177256</v>
      </c>
      <c r="N163">
        <v>8.98</v>
      </c>
      <c r="O163">
        <v>3195.7121999999999</v>
      </c>
      <c r="P163">
        <v>3826.287800000001</v>
      </c>
      <c r="Q163">
        <f t="shared" si="8"/>
        <v>-195.15999999999985</v>
      </c>
      <c r="R163">
        <f t="shared" si="9"/>
        <v>-5.5585303332383894E-2</v>
      </c>
      <c r="S163">
        <f t="shared" si="10"/>
        <v>-116.92094312090012</v>
      </c>
      <c r="T163">
        <f t="shared" si="11"/>
        <v>-3.3301322449700972E-2</v>
      </c>
    </row>
    <row r="164" spans="1:20" x14ac:dyDescent="0.3">
      <c r="A164" s="2">
        <v>45839</v>
      </c>
      <c r="B164" t="s">
        <v>28</v>
      </c>
      <c r="C164">
        <v>3978</v>
      </c>
      <c r="D164">
        <v>4000.53</v>
      </c>
      <c r="E164">
        <v>3492.73</v>
      </c>
      <c r="F164">
        <v>4032.4206768035001</v>
      </c>
      <c r="G164">
        <v>4837.3900000000003</v>
      </c>
      <c r="H164">
        <v>3746.63</v>
      </c>
      <c r="I164">
        <v>4032.4206768035001</v>
      </c>
      <c r="J164">
        <v>2851.8177633011001</v>
      </c>
      <c r="K164">
        <v>5243.1101377553996</v>
      </c>
      <c r="L164">
        <v>3718.2813341893002</v>
      </c>
      <c r="M164">
        <v>314.13934261430001</v>
      </c>
      <c r="N164">
        <v>8.98</v>
      </c>
      <c r="O164">
        <v>3620.7755999999999</v>
      </c>
      <c r="P164">
        <v>4335.2244000000001</v>
      </c>
      <c r="Q164">
        <f t="shared" si="8"/>
        <v>485.27</v>
      </c>
      <c r="R164">
        <f t="shared" si="9"/>
        <v>0.1219884364002011</v>
      </c>
      <c r="S164">
        <f t="shared" si="10"/>
        <v>-54.420676803500101</v>
      </c>
      <c r="T164">
        <f t="shared" si="11"/>
        <v>-1.3680411463926621E-2</v>
      </c>
    </row>
    <row r="165" spans="1:20" x14ac:dyDescent="0.3">
      <c r="A165" s="2">
        <v>45870</v>
      </c>
      <c r="B165" t="s">
        <v>28</v>
      </c>
      <c r="C165">
        <v>5015</v>
      </c>
      <c r="D165">
        <v>5051.53</v>
      </c>
      <c r="E165">
        <v>3717.23</v>
      </c>
      <c r="F165">
        <v>3768.0472994665001</v>
      </c>
      <c r="G165">
        <v>4428.4859999999999</v>
      </c>
      <c r="H165">
        <v>4384.38</v>
      </c>
      <c r="I165">
        <v>3768.0472994665001</v>
      </c>
      <c r="J165">
        <v>2524.9329412192001</v>
      </c>
      <c r="K165">
        <v>4992.0667638891</v>
      </c>
      <c r="L165">
        <v>3684.8952366435001</v>
      </c>
      <c r="M165">
        <v>83.152062822999994</v>
      </c>
      <c r="N165">
        <v>8.98</v>
      </c>
      <c r="O165">
        <v>4564.6530000000002</v>
      </c>
      <c r="P165">
        <v>5465.3470000000007</v>
      </c>
      <c r="Q165">
        <f t="shared" si="8"/>
        <v>1297.77</v>
      </c>
      <c r="R165">
        <f t="shared" si="9"/>
        <v>0.25877766699900301</v>
      </c>
      <c r="S165">
        <f t="shared" si="10"/>
        <v>1246.9527005334999</v>
      </c>
      <c r="T165">
        <f t="shared" si="11"/>
        <v>0.24864460628783647</v>
      </c>
    </row>
    <row r="166" spans="1:20" x14ac:dyDescent="0.3">
      <c r="A166" s="2">
        <v>45901</v>
      </c>
      <c r="B166" t="s">
        <v>28</v>
      </c>
      <c r="C166">
        <v>4534</v>
      </c>
      <c r="D166">
        <v>3771.31</v>
      </c>
      <c r="E166">
        <v>4155.09</v>
      </c>
      <c r="F166">
        <v>3727.3732533926</v>
      </c>
      <c r="G166">
        <v>4381.3419999999996</v>
      </c>
      <c r="H166">
        <v>3963.2</v>
      </c>
      <c r="I166">
        <v>3727.3732533926</v>
      </c>
      <c r="J166">
        <v>2564.4825133265999</v>
      </c>
      <c r="K166">
        <v>4911.3276318345997</v>
      </c>
      <c r="L166">
        <v>3651.5091390975999</v>
      </c>
      <c r="M166">
        <v>75.864114294999993</v>
      </c>
      <c r="N166">
        <v>8.98</v>
      </c>
      <c r="O166">
        <v>4126.8468000000003</v>
      </c>
      <c r="P166">
        <v>4941.1532000000007</v>
      </c>
      <c r="Q166">
        <f t="shared" si="8"/>
        <v>378.90999999999985</v>
      </c>
      <c r="R166">
        <f t="shared" si="9"/>
        <v>8.3570798411998201E-2</v>
      </c>
      <c r="S166">
        <f t="shared" si="10"/>
        <v>806.62674660740004</v>
      </c>
      <c r="T166">
        <f t="shared" si="11"/>
        <v>0.17790620789752978</v>
      </c>
    </row>
    <row r="167" spans="1:20" x14ac:dyDescent="0.3">
      <c r="A167" s="2">
        <v>45931</v>
      </c>
      <c r="B167" t="s">
        <v>28</v>
      </c>
      <c r="C167">
        <v>4393</v>
      </c>
      <c r="E167">
        <v>4270.96</v>
      </c>
      <c r="F167">
        <v>3184.8867971690001</v>
      </c>
      <c r="G167">
        <v>4258.72</v>
      </c>
      <c r="H167">
        <v>4510.8900000000003</v>
      </c>
      <c r="I167">
        <v>3184.8867971690001</v>
      </c>
      <c r="J167">
        <v>1956.8274626688999</v>
      </c>
      <c r="K167">
        <v>4376.4963024947001</v>
      </c>
      <c r="L167">
        <v>3619.2000124403999</v>
      </c>
      <c r="M167">
        <v>-434.3132152714</v>
      </c>
      <c r="N167">
        <v>8.98</v>
      </c>
      <c r="O167">
        <v>3998.5086000000001</v>
      </c>
      <c r="P167">
        <v>4787.4914000000008</v>
      </c>
      <c r="Q167">
        <f t="shared" si="8"/>
        <v>122.03999999999996</v>
      </c>
      <c r="R167">
        <f t="shared" si="9"/>
        <v>2.7780559981789202E-2</v>
      </c>
      <c r="S167">
        <f t="shared" si="10"/>
        <v>1208.1132028309999</v>
      </c>
      <c r="T167">
        <f t="shared" si="11"/>
        <v>0.27500869629660818</v>
      </c>
    </row>
    <row r="168" spans="1:20" x14ac:dyDescent="0.3">
      <c r="A168" s="2">
        <v>45962</v>
      </c>
      <c r="B168" t="s">
        <v>28</v>
      </c>
      <c r="C168">
        <v>3790</v>
      </c>
      <c r="E168">
        <v>3115.83</v>
      </c>
      <c r="F168">
        <v>2495.9381025134999</v>
      </c>
      <c r="G168">
        <v>3582.4575</v>
      </c>
      <c r="H168">
        <v>3212.81</v>
      </c>
      <c r="I168">
        <v>2495.9381025134999</v>
      </c>
      <c r="J168">
        <v>1280.8323558545001</v>
      </c>
      <c r="K168">
        <v>3797.5505526909001</v>
      </c>
      <c r="L168">
        <v>3585.8139148946002</v>
      </c>
      <c r="M168">
        <v>-1089.8758123811001</v>
      </c>
      <c r="N168">
        <v>8.98</v>
      </c>
      <c r="O168">
        <v>3449.6579999999999</v>
      </c>
      <c r="P168">
        <v>4130.3420000000006</v>
      </c>
      <c r="Q168">
        <f t="shared" si="8"/>
        <v>674.17000000000007</v>
      </c>
      <c r="R168">
        <f t="shared" si="9"/>
        <v>0.17788126649076519</v>
      </c>
      <c r="S168">
        <f t="shared" si="10"/>
        <v>1294.0618974865001</v>
      </c>
      <c r="T168">
        <f t="shared" si="11"/>
        <v>0.3414411339014512</v>
      </c>
    </row>
    <row r="169" spans="1:20" x14ac:dyDescent="0.3">
      <c r="A169" s="2">
        <v>45992</v>
      </c>
      <c r="B169" t="s">
        <v>28</v>
      </c>
      <c r="C169">
        <v>5496</v>
      </c>
      <c r="E169">
        <v>3954.74</v>
      </c>
      <c r="F169">
        <v>3309.2372840244998</v>
      </c>
      <c r="G169">
        <v>4532.63</v>
      </c>
      <c r="H169">
        <v>4188.79</v>
      </c>
      <c r="I169">
        <v>3309.2372840244998</v>
      </c>
      <c r="J169">
        <v>1980.5546233138</v>
      </c>
      <c r="K169">
        <v>4496.5847835204004</v>
      </c>
      <c r="L169">
        <v>3553.5047882373001</v>
      </c>
      <c r="M169">
        <v>-244.26750421279999</v>
      </c>
      <c r="N169">
        <v>8.98</v>
      </c>
      <c r="O169">
        <v>5002.4592000000002</v>
      </c>
      <c r="P169">
        <v>5989.5408000000007</v>
      </c>
      <c r="Q169">
        <f t="shared" si="8"/>
        <v>1541.2600000000002</v>
      </c>
      <c r="R169">
        <f t="shared" si="9"/>
        <v>0.28043304221251825</v>
      </c>
      <c r="S169">
        <f t="shared" si="10"/>
        <v>2186.7627159755002</v>
      </c>
      <c r="T169">
        <f t="shared" si="11"/>
        <v>0.39788259024299494</v>
      </c>
    </row>
    <row r="170" spans="1:20" x14ac:dyDescent="0.3">
      <c r="A170" s="2">
        <v>45658</v>
      </c>
      <c r="B170" t="s">
        <v>29</v>
      </c>
      <c r="C170">
        <v>4746</v>
      </c>
      <c r="D170">
        <v>4701.59</v>
      </c>
      <c r="E170">
        <v>6717.72</v>
      </c>
      <c r="F170">
        <v>6159.9653031889002</v>
      </c>
      <c r="G170">
        <v>5949.8519999999999</v>
      </c>
      <c r="H170">
        <v>5709.6549999999997</v>
      </c>
      <c r="I170">
        <v>6159.9653031889002</v>
      </c>
      <c r="J170">
        <v>5156.0296915994004</v>
      </c>
      <c r="K170">
        <v>7101.7584402742996</v>
      </c>
      <c r="L170">
        <v>5373.4632018804996</v>
      </c>
      <c r="M170">
        <v>786.50210130840003</v>
      </c>
      <c r="N170">
        <v>5.16</v>
      </c>
      <c r="O170">
        <v>4501.1063999999997</v>
      </c>
      <c r="P170">
        <v>4990.8936000000003</v>
      </c>
      <c r="Q170">
        <f t="shared" si="8"/>
        <v>-1971.7200000000003</v>
      </c>
      <c r="R170">
        <f t="shared" si="9"/>
        <v>-0.41544879898862203</v>
      </c>
      <c r="S170">
        <f t="shared" si="10"/>
        <v>-1413.9653031889002</v>
      </c>
      <c r="T170">
        <f t="shared" si="11"/>
        <v>-0.29792779249660772</v>
      </c>
    </row>
    <row r="171" spans="1:20" x14ac:dyDescent="0.3">
      <c r="A171" s="2">
        <v>45689</v>
      </c>
      <c r="B171" t="s">
        <v>29</v>
      </c>
      <c r="C171">
        <v>4711</v>
      </c>
      <c r="D171">
        <v>4819.2</v>
      </c>
      <c r="E171">
        <v>5964.5</v>
      </c>
      <c r="F171">
        <v>5113.9444322765003</v>
      </c>
      <c r="G171">
        <v>5041.0219999999999</v>
      </c>
      <c r="H171">
        <v>5391.85</v>
      </c>
      <c r="I171">
        <v>5113.9444322765003</v>
      </c>
      <c r="J171">
        <v>4144.3641118892001</v>
      </c>
      <c r="K171">
        <v>6099.4157026294997</v>
      </c>
      <c r="L171">
        <v>5378.7122168676997</v>
      </c>
      <c r="M171">
        <v>-264.76778459119998</v>
      </c>
      <c r="N171">
        <v>5.16</v>
      </c>
      <c r="O171">
        <v>4467.9124000000002</v>
      </c>
      <c r="P171">
        <v>4954.0876000000007</v>
      </c>
      <c r="Q171">
        <f t="shared" si="8"/>
        <v>-1253.5</v>
      </c>
      <c r="R171">
        <f t="shared" si="9"/>
        <v>-0.266079388664827</v>
      </c>
      <c r="S171">
        <f t="shared" si="10"/>
        <v>-402.94443227650027</v>
      </c>
      <c r="T171">
        <f t="shared" si="11"/>
        <v>-8.5532675074612666E-2</v>
      </c>
    </row>
    <row r="172" spans="1:20" x14ac:dyDescent="0.3">
      <c r="A172" s="2">
        <v>45717</v>
      </c>
      <c r="B172" t="s">
        <v>29</v>
      </c>
      <c r="C172">
        <v>7594</v>
      </c>
      <c r="D172">
        <v>7337.55</v>
      </c>
      <c r="E172">
        <v>3638.95</v>
      </c>
      <c r="F172">
        <v>5180.1089243752003</v>
      </c>
      <c r="G172">
        <v>5236.8559999999998</v>
      </c>
      <c r="H172">
        <v>5488.25</v>
      </c>
      <c r="I172">
        <v>5180.1089243752003</v>
      </c>
      <c r="J172">
        <v>4249.1303359875001</v>
      </c>
      <c r="K172">
        <v>6139.9686627613</v>
      </c>
      <c r="L172">
        <v>5383.4532626625996</v>
      </c>
      <c r="M172">
        <v>-203.34433828740001</v>
      </c>
      <c r="N172">
        <v>5.16</v>
      </c>
      <c r="O172">
        <v>7202.1495999999997</v>
      </c>
      <c r="P172">
        <v>7985.8504000000003</v>
      </c>
      <c r="Q172">
        <f t="shared" si="8"/>
        <v>3955.05</v>
      </c>
      <c r="R172">
        <f t="shared" si="9"/>
        <v>0.52081248353963661</v>
      </c>
      <c r="S172">
        <f t="shared" si="10"/>
        <v>2413.8910756247997</v>
      </c>
      <c r="T172">
        <f t="shared" si="11"/>
        <v>0.31786819536802735</v>
      </c>
    </row>
    <row r="173" spans="1:20" x14ac:dyDescent="0.3">
      <c r="A173" s="2">
        <v>45748</v>
      </c>
      <c r="B173" t="s">
        <v>29</v>
      </c>
      <c r="C173">
        <v>5440</v>
      </c>
      <c r="D173">
        <v>5947.43</v>
      </c>
      <c r="E173">
        <v>3979.39</v>
      </c>
      <c r="F173">
        <v>4764.8893634233</v>
      </c>
      <c r="G173">
        <v>4539.09</v>
      </c>
      <c r="H173">
        <v>4963.41</v>
      </c>
      <c r="I173">
        <v>4764.8893634233</v>
      </c>
      <c r="J173">
        <v>3870.1127867214</v>
      </c>
      <c r="K173">
        <v>5733.3912722918003</v>
      </c>
      <c r="L173">
        <v>5388.7022776497997</v>
      </c>
      <c r="M173">
        <v>-623.81291422649997</v>
      </c>
      <c r="N173">
        <v>5.16</v>
      </c>
      <c r="O173">
        <v>5159.2960000000003</v>
      </c>
      <c r="P173">
        <v>5720.7040000000006</v>
      </c>
      <c r="Q173">
        <f t="shared" si="8"/>
        <v>1460.6100000000001</v>
      </c>
      <c r="R173">
        <f t="shared" si="9"/>
        <v>0.26849448529411768</v>
      </c>
      <c r="S173">
        <f t="shared" si="10"/>
        <v>675.11063657670002</v>
      </c>
      <c r="T173">
        <f t="shared" si="11"/>
        <v>0.12410121995895221</v>
      </c>
    </row>
    <row r="174" spans="1:20" x14ac:dyDescent="0.3">
      <c r="A174" s="2">
        <v>45778</v>
      </c>
      <c r="B174" t="s">
        <v>29</v>
      </c>
      <c r="C174">
        <v>5370</v>
      </c>
      <c r="D174">
        <v>5696.08</v>
      </c>
      <c r="E174">
        <v>6762.91</v>
      </c>
      <c r="F174">
        <v>5660.6343426500998</v>
      </c>
      <c r="G174">
        <v>5344.7820000000002</v>
      </c>
      <c r="H174">
        <v>6229.4949999999999</v>
      </c>
      <c r="I174">
        <v>5660.6343426500998</v>
      </c>
      <c r="J174">
        <v>4676.4988219311999</v>
      </c>
      <c r="K174">
        <v>6649.9166932434</v>
      </c>
      <c r="L174">
        <v>5393.7819695729004</v>
      </c>
      <c r="M174">
        <v>266.8523730773</v>
      </c>
      <c r="N174">
        <v>5.16</v>
      </c>
      <c r="O174">
        <v>5092.9080000000004</v>
      </c>
      <c r="P174">
        <v>5647.0920000000006</v>
      </c>
      <c r="Q174">
        <f t="shared" si="8"/>
        <v>-1392.9099999999999</v>
      </c>
      <c r="R174">
        <f t="shared" si="9"/>
        <v>-0.2593873370577281</v>
      </c>
      <c r="S174">
        <f t="shared" si="10"/>
        <v>-290.63434265009982</v>
      </c>
      <c r="T174">
        <f t="shared" si="11"/>
        <v>-5.4121851517709464E-2</v>
      </c>
    </row>
    <row r="175" spans="1:20" x14ac:dyDescent="0.3">
      <c r="A175" s="2">
        <v>45809</v>
      </c>
      <c r="B175" t="s">
        <v>29</v>
      </c>
      <c r="C175">
        <v>5714</v>
      </c>
      <c r="D175">
        <v>5821.43</v>
      </c>
      <c r="E175">
        <v>5184.68</v>
      </c>
      <c r="F175">
        <v>5370.9425313575002</v>
      </c>
      <c r="G175">
        <v>5470.76</v>
      </c>
      <c r="H175">
        <v>5503.0550000000003</v>
      </c>
      <c r="I175">
        <v>5370.9425313575002</v>
      </c>
      <c r="J175">
        <v>4440.6700631393996</v>
      </c>
      <c r="K175">
        <v>6380.4246547739003</v>
      </c>
      <c r="L175">
        <v>5399.0309845600996</v>
      </c>
      <c r="M175">
        <v>-28.088453202499998</v>
      </c>
      <c r="N175">
        <v>5.16</v>
      </c>
      <c r="O175">
        <v>5419.1575999999995</v>
      </c>
      <c r="P175">
        <v>6008.8424000000005</v>
      </c>
      <c r="Q175">
        <f t="shared" si="8"/>
        <v>529.31999999999971</v>
      </c>
      <c r="R175">
        <f t="shared" si="9"/>
        <v>9.2635631781589026E-2</v>
      </c>
      <c r="S175">
        <f t="shared" si="10"/>
        <v>343.05746864249977</v>
      </c>
      <c r="T175">
        <f t="shared" si="11"/>
        <v>6.0038058915383226E-2</v>
      </c>
    </row>
    <row r="176" spans="1:20" x14ac:dyDescent="0.3">
      <c r="A176" s="2">
        <v>45839</v>
      </c>
      <c r="B176" t="s">
        <v>29</v>
      </c>
      <c r="C176">
        <v>5649</v>
      </c>
      <c r="D176">
        <v>5858.65</v>
      </c>
      <c r="E176">
        <v>5184.5</v>
      </c>
      <c r="F176">
        <v>5665.6764496368996</v>
      </c>
      <c r="G176">
        <v>5452.3140000000003</v>
      </c>
      <c r="H176">
        <v>5521.5749999999998</v>
      </c>
      <c r="I176">
        <v>5665.6764496368996</v>
      </c>
      <c r="J176">
        <v>4718.463365654</v>
      </c>
      <c r="K176">
        <v>6631.3384450658004</v>
      </c>
      <c r="L176">
        <v>5404.1106764832002</v>
      </c>
      <c r="M176">
        <v>261.56577315369998</v>
      </c>
      <c r="N176">
        <v>5.16</v>
      </c>
      <c r="O176">
        <v>5357.5115999999998</v>
      </c>
      <c r="P176">
        <v>5940.4884000000002</v>
      </c>
      <c r="Q176">
        <f t="shared" si="8"/>
        <v>464.5</v>
      </c>
      <c r="R176">
        <f t="shared" si="9"/>
        <v>8.2226942821738355E-2</v>
      </c>
      <c r="S176">
        <f t="shared" si="10"/>
        <v>-16.676449636899633</v>
      </c>
      <c r="T176">
        <f t="shared" si="11"/>
        <v>-2.9521065032571485E-3</v>
      </c>
    </row>
    <row r="177" spans="1:20" x14ac:dyDescent="0.3">
      <c r="A177" s="2">
        <v>45870</v>
      </c>
      <c r="B177" t="s">
        <v>29</v>
      </c>
      <c r="C177">
        <v>4698</v>
      </c>
      <c r="D177">
        <v>4923.25</v>
      </c>
      <c r="E177">
        <v>4824.92</v>
      </c>
      <c r="F177">
        <v>4840.2038163754996</v>
      </c>
      <c r="G177">
        <v>4616.0940000000001</v>
      </c>
      <c r="H177">
        <v>4874.085</v>
      </c>
      <c r="I177">
        <v>4840.2038163754996</v>
      </c>
      <c r="J177">
        <v>3829.2227887290001</v>
      </c>
      <c r="K177">
        <v>5881.8806776830997</v>
      </c>
      <c r="L177">
        <v>5409.3596914704003</v>
      </c>
      <c r="M177">
        <v>-569.15587509490001</v>
      </c>
      <c r="N177">
        <v>5.16</v>
      </c>
      <c r="O177">
        <v>4455.5832</v>
      </c>
      <c r="P177">
        <v>4940.4168000000009</v>
      </c>
      <c r="Q177">
        <f t="shared" si="8"/>
        <v>-126.92000000000007</v>
      </c>
      <c r="R177">
        <f t="shared" si="9"/>
        <v>-2.7015751383567491E-2</v>
      </c>
      <c r="S177">
        <f t="shared" si="10"/>
        <v>-142.20381637549963</v>
      </c>
      <c r="T177">
        <f t="shared" si="11"/>
        <v>-3.0269011574180424E-2</v>
      </c>
    </row>
    <row r="178" spans="1:20" x14ac:dyDescent="0.3">
      <c r="A178" s="2">
        <v>45901</v>
      </c>
      <c r="B178" t="s">
        <v>29</v>
      </c>
      <c r="C178">
        <v>3908</v>
      </c>
      <c r="D178">
        <v>3818.3</v>
      </c>
      <c r="E178">
        <v>4295.63</v>
      </c>
      <c r="F178">
        <v>4734.9633025859002</v>
      </c>
      <c r="G178">
        <v>4822.5820000000003</v>
      </c>
      <c r="H178">
        <v>4056.9650000000001</v>
      </c>
      <c r="I178">
        <v>4734.9633025859002</v>
      </c>
      <c r="J178">
        <v>3708.8498255322002</v>
      </c>
      <c r="K178">
        <v>5739.0156107211997</v>
      </c>
      <c r="L178">
        <v>5414.6087064576004</v>
      </c>
      <c r="M178">
        <v>-679.64540387169995</v>
      </c>
      <c r="N178">
        <v>5.16</v>
      </c>
      <c r="O178">
        <v>3706.3472000000002</v>
      </c>
      <c r="P178">
        <v>4109.6528000000008</v>
      </c>
      <c r="Q178">
        <f t="shared" si="8"/>
        <v>-387.63000000000011</v>
      </c>
      <c r="R178">
        <f t="shared" si="9"/>
        <v>-9.9188843398157658E-2</v>
      </c>
      <c r="S178">
        <f t="shared" si="10"/>
        <v>-826.96330258590024</v>
      </c>
      <c r="T178">
        <f t="shared" si="11"/>
        <v>-0.21160780516527641</v>
      </c>
    </row>
    <row r="179" spans="1:20" x14ac:dyDescent="0.3">
      <c r="A179" s="2">
        <v>45931</v>
      </c>
      <c r="B179" t="s">
        <v>29</v>
      </c>
      <c r="C179">
        <v>4822</v>
      </c>
      <c r="E179">
        <v>4880.47</v>
      </c>
      <c r="F179">
        <v>4529.1435593899996</v>
      </c>
      <c r="G179">
        <v>4265.2749999999996</v>
      </c>
      <c r="H179">
        <v>4622.43</v>
      </c>
      <c r="I179">
        <v>4529.1435593899996</v>
      </c>
      <c r="J179">
        <v>3560.5387624084001</v>
      </c>
      <c r="K179">
        <v>5451.5305145056</v>
      </c>
      <c r="L179">
        <v>5419.6883983807002</v>
      </c>
      <c r="M179">
        <v>-890.54483899069999</v>
      </c>
      <c r="N179">
        <v>5.16</v>
      </c>
      <c r="O179">
        <v>4573.1848</v>
      </c>
      <c r="P179">
        <v>5070.8152</v>
      </c>
      <c r="Q179">
        <f t="shared" si="8"/>
        <v>-58.470000000000255</v>
      </c>
      <c r="R179">
        <f t="shared" si="9"/>
        <v>-1.2125673994193334E-2</v>
      </c>
      <c r="S179">
        <f t="shared" si="10"/>
        <v>292.85644061000039</v>
      </c>
      <c r="T179">
        <f t="shared" si="11"/>
        <v>6.0733397057237744E-2</v>
      </c>
    </row>
    <row r="180" spans="1:20" x14ac:dyDescent="0.3">
      <c r="A180" s="2">
        <v>45962</v>
      </c>
      <c r="B180" t="s">
        <v>29</v>
      </c>
      <c r="C180">
        <v>6042</v>
      </c>
      <c r="E180">
        <v>5956.61</v>
      </c>
      <c r="F180">
        <v>5944.5670330311004</v>
      </c>
      <c r="G180">
        <v>5851.18</v>
      </c>
      <c r="H180">
        <v>6622.97</v>
      </c>
      <c r="I180">
        <v>5944.5670330311004</v>
      </c>
      <c r="J180">
        <v>4892.0537978169004</v>
      </c>
      <c r="K180">
        <v>6888.1761254012999</v>
      </c>
      <c r="L180">
        <v>5424.9374133679003</v>
      </c>
      <c r="M180">
        <v>519.62961966319995</v>
      </c>
      <c r="N180">
        <v>5.16</v>
      </c>
      <c r="O180">
        <v>5730.2327999999998</v>
      </c>
      <c r="P180">
        <v>6353.7672000000002</v>
      </c>
      <c r="Q180">
        <f t="shared" si="8"/>
        <v>85.390000000000327</v>
      </c>
      <c r="R180">
        <f t="shared" si="9"/>
        <v>1.4132737504137757E-2</v>
      </c>
      <c r="S180">
        <f t="shared" si="10"/>
        <v>97.432966968899564</v>
      </c>
      <c r="T180">
        <f t="shared" si="11"/>
        <v>1.6125946204716909E-2</v>
      </c>
    </row>
    <row r="181" spans="1:20" x14ac:dyDescent="0.3">
      <c r="A181" s="2">
        <v>45992</v>
      </c>
      <c r="B181" t="s">
        <v>29</v>
      </c>
      <c r="C181">
        <v>4617</v>
      </c>
      <c r="E181">
        <v>4702.47</v>
      </c>
      <c r="F181">
        <v>5355.8530473044002</v>
      </c>
      <c r="G181">
        <v>5051.51</v>
      </c>
      <c r="H181">
        <v>4422.4049999999997</v>
      </c>
      <c r="I181">
        <v>5355.8530473044002</v>
      </c>
      <c r="J181">
        <v>4388.6651769616001</v>
      </c>
      <c r="K181">
        <v>6266.2906135536005</v>
      </c>
      <c r="L181">
        <v>5430.017105291</v>
      </c>
      <c r="M181">
        <v>-74.164057986499998</v>
      </c>
      <c r="N181">
        <v>5.16</v>
      </c>
      <c r="O181">
        <v>4378.7628000000004</v>
      </c>
      <c r="P181">
        <v>4855.2371999999996</v>
      </c>
      <c r="Q181">
        <f t="shared" si="8"/>
        <v>-85.470000000000255</v>
      </c>
      <c r="R181">
        <f t="shared" si="9"/>
        <v>-1.8512020792722603E-2</v>
      </c>
      <c r="S181">
        <f t="shared" si="10"/>
        <v>-738.85304730440021</v>
      </c>
      <c r="T181">
        <f t="shared" si="11"/>
        <v>-0.16002881683006287</v>
      </c>
    </row>
    <row r="182" spans="1:20" x14ac:dyDescent="0.3">
      <c r="A182" s="2">
        <v>45658</v>
      </c>
      <c r="B182" t="s">
        <v>30</v>
      </c>
      <c r="C182">
        <v>4731</v>
      </c>
      <c r="D182">
        <v>4865.1000000000004</v>
      </c>
      <c r="E182">
        <v>6002.05</v>
      </c>
      <c r="F182">
        <v>4343.1729520623003</v>
      </c>
      <c r="G182">
        <v>5361.9340000000002</v>
      </c>
      <c r="H182">
        <v>5433.5749999999998</v>
      </c>
      <c r="I182">
        <v>4343.1729520623003</v>
      </c>
      <c r="J182">
        <v>3359.7367423362998</v>
      </c>
      <c r="K182">
        <v>5238.1913489102999</v>
      </c>
      <c r="L182">
        <v>4339.9182029262001</v>
      </c>
      <c r="M182">
        <v>3.2547491361000001</v>
      </c>
      <c r="N182">
        <v>17.79</v>
      </c>
      <c r="O182">
        <v>3889.3551000000002</v>
      </c>
      <c r="P182">
        <v>5572.6448999999993</v>
      </c>
      <c r="Q182">
        <f t="shared" si="8"/>
        <v>-1271.0500000000002</v>
      </c>
      <c r="R182">
        <f t="shared" si="9"/>
        <v>-0.26866413020503066</v>
      </c>
      <c r="S182">
        <f t="shared" si="10"/>
        <v>387.82704793769972</v>
      </c>
      <c r="T182">
        <f t="shared" si="11"/>
        <v>8.1975702375332846E-2</v>
      </c>
    </row>
    <row r="183" spans="1:20" x14ac:dyDescent="0.3">
      <c r="A183" s="2">
        <v>45689</v>
      </c>
      <c r="B183" t="s">
        <v>30</v>
      </c>
      <c r="C183">
        <v>4488</v>
      </c>
      <c r="D183">
        <v>4231.9799999999996</v>
      </c>
      <c r="E183">
        <v>4291.3</v>
      </c>
      <c r="F183">
        <v>3799.1602918612998</v>
      </c>
      <c r="G183">
        <v>4421.0219999999999</v>
      </c>
      <c r="H183">
        <v>4261.6400000000003</v>
      </c>
      <c r="I183">
        <v>3799.1602918612998</v>
      </c>
      <c r="J183">
        <v>2821.8852259206001</v>
      </c>
      <c r="K183">
        <v>4807.4936200798002</v>
      </c>
      <c r="L183">
        <v>4308.8739200496002</v>
      </c>
      <c r="M183">
        <v>-509.71362818829999</v>
      </c>
      <c r="N183">
        <v>17.79</v>
      </c>
      <c r="O183">
        <v>3689.5848000000001</v>
      </c>
      <c r="P183">
        <v>5286.4151999999985</v>
      </c>
      <c r="Q183">
        <f t="shared" si="8"/>
        <v>196.69999999999982</v>
      </c>
      <c r="R183">
        <f t="shared" si="9"/>
        <v>4.3827985739750407E-2</v>
      </c>
      <c r="S183">
        <f t="shared" si="10"/>
        <v>688.83970813870019</v>
      </c>
      <c r="T183">
        <f t="shared" si="11"/>
        <v>0.15348478345336458</v>
      </c>
    </row>
    <row r="184" spans="1:20" x14ac:dyDescent="0.3">
      <c r="A184" s="2">
        <v>45717</v>
      </c>
      <c r="B184" t="s">
        <v>30</v>
      </c>
      <c r="C184">
        <v>5732</v>
      </c>
      <c r="D184">
        <v>5316.72</v>
      </c>
      <c r="E184">
        <v>5143.16</v>
      </c>
      <c r="F184">
        <v>4345.0309258584002</v>
      </c>
      <c r="G184">
        <v>4977.3639999999996</v>
      </c>
      <c r="H184">
        <v>5229.9399999999996</v>
      </c>
      <c r="I184">
        <v>4345.0309258584002</v>
      </c>
      <c r="J184">
        <v>3458.7678552046</v>
      </c>
      <c r="K184">
        <v>5305.1677421672002</v>
      </c>
      <c r="L184">
        <v>4280.8339226126</v>
      </c>
      <c r="M184">
        <v>64.197003245800005</v>
      </c>
      <c r="N184">
        <v>17.79</v>
      </c>
      <c r="O184">
        <v>4712.2772000000004</v>
      </c>
      <c r="P184">
        <v>6751.7227999999996</v>
      </c>
      <c r="Q184">
        <f t="shared" si="8"/>
        <v>588.84000000000015</v>
      </c>
      <c r="R184">
        <f t="shared" si="9"/>
        <v>0.10272854152128405</v>
      </c>
      <c r="S184">
        <f t="shared" si="10"/>
        <v>1386.9690741415998</v>
      </c>
      <c r="T184">
        <f t="shared" si="11"/>
        <v>0.24196948257878573</v>
      </c>
    </row>
    <row r="185" spans="1:20" x14ac:dyDescent="0.3">
      <c r="A185" s="2">
        <v>45748</v>
      </c>
      <c r="B185" t="s">
        <v>30</v>
      </c>
      <c r="C185">
        <v>3582</v>
      </c>
      <c r="D185">
        <v>3090.83</v>
      </c>
      <c r="E185">
        <v>4016.78</v>
      </c>
      <c r="F185">
        <v>3557.2406340551001</v>
      </c>
      <c r="G185">
        <v>4347.21</v>
      </c>
      <c r="H185">
        <v>3553.8049999999998</v>
      </c>
      <c r="I185">
        <v>3557.2406340551001</v>
      </c>
      <c r="J185">
        <v>2638.0034088738998</v>
      </c>
      <c r="K185">
        <v>4643.4023365609</v>
      </c>
      <c r="L185">
        <v>4249.789639736</v>
      </c>
      <c r="M185">
        <v>-692.5490056809</v>
      </c>
      <c r="N185">
        <v>17.79</v>
      </c>
      <c r="O185">
        <v>2944.7622000000001</v>
      </c>
      <c r="P185">
        <v>4219.2377999999999</v>
      </c>
      <c r="Q185">
        <f t="shared" si="8"/>
        <v>-434.7800000000002</v>
      </c>
      <c r="R185">
        <f t="shared" si="9"/>
        <v>-0.12137911781127868</v>
      </c>
      <c r="S185">
        <f t="shared" si="10"/>
        <v>24.759365944899855</v>
      </c>
      <c r="T185">
        <f t="shared" si="11"/>
        <v>6.9121624636794684E-3</v>
      </c>
    </row>
    <row r="186" spans="1:20" x14ac:dyDescent="0.3">
      <c r="A186" s="2">
        <v>45778</v>
      </c>
      <c r="B186" t="s">
        <v>30</v>
      </c>
      <c r="C186">
        <v>3569</v>
      </c>
      <c r="D186">
        <v>2747.5</v>
      </c>
      <c r="E186">
        <v>5712.94</v>
      </c>
      <c r="F186">
        <v>4336.0114393020003</v>
      </c>
      <c r="G186">
        <v>5189.1419999999998</v>
      </c>
      <c r="H186">
        <v>4230.22</v>
      </c>
      <c r="I186">
        <v>4336.0114393020003</v>
      </c>
      <c r="J186">
        <v>3389.0503947508</v>
      </c>
      <c r="K186">
        <v>5353.8834160423003</v>
      </c>
      <c r="L186">
        <v>4219.7467853392</v>
      </c>
      <c r="M186">
        <v>116.2646539628</v>
      </c>
      <c r="N186">
        <v>17.79</v>
      </c>
      <c r="O186">
        <v>2934.0749000000001</v>
      </c>
      <c r="P186">
        <v>4203.9250999999986</v>
      </c>
      <c r="Q186">
        <f t="shared" si="8"/>
        <v>-2143.9399999999996</v>
      </c>
      <c r="R186">
        <f t="shared" si="9"/>
        <v>-0.60071168394508256</v>
      </c>
      <c r="S186">
        <f t="shared" si="10"/>
        <v>-767.01143930200033</v>
      </c>
      <c r="T186">
        <f t="shared" si="11"/>
        <v>-0.21490934135668263</v>
      </c>
    </row>
    <row r="187" spans="1:20" x14ac:dyDescent="0.3">
      <c r="A187" s="2">
        <v>45809</v>
      </c>
      <c r="B187" t="s">
        <v>30</v>
      </c>
      <c r="C187">
        <v>4116</v>
      </c>
      <c r="D187">
        <v>3256.66</v>
      </c>
      <c r="E187">
        <v>6430.48</v>
      </c>
      <c r="F187">
        <v>4718.4561126342996</v>
      </c>
      <c r="G187">
        <v>5297.4920000000002</v>
      </c>
      <c r="H187">
        <v>4843.57</v>
      </c>
      <c r="I187">
        <v>4718.4561126342996</v>
      </c>
      <c r="J187">
        <v>3784.9520169040002</v>
      </c>
      <c r="K187">
        <v>5606.8599842801996</v>
      </c>
      <c r="L187">
        <v>4188.7025024626</v>
      </c>
      <c r="M187">
        <v>529.75361017169996</v>
      </c>
      <c r="N187">
        <v>17.79</v>
      </c>
      <c r="O187">
        <v>3383.7636000000002</v>
      </c>
      <c r="P187">
        <v>4848.2363999999998</v>
      </c>
      <c r="Q187">
        <f t="shared" si="8"/>
        <v>-2314.4799999999996</v>
      </c>
      <c r="R187">
        <f t="shared" si="9"/>
        <v>-0.56231292517006792</v>
      </c>
      <c r="S187">
        <f t="shared" si="10"/>
        <v>-602.45611263429964</v>
      </c>
      <c r="T187">
        <f t="shared" si="11"/>
        <v>-0.14636931793836241</v>
      </c>
    </row>
    <row r="188" spans="1:20" x14ac:dyDescent="0.3">
      <c r="A188" s="2">
        <v>45839</v>
      </c>
      <c r="B188" t="s">
        <v>30</v>
      </c>
      <c r="C188">
        <v>5241</v>
      </c>
      <c r="D188">
        <v>5220.0600000000004</v>
      </c>
      <c r="E188">
        <v>4741.9399999999996</v>
      </c>
      <c r="F188">
        <v>4858.9159114949998</v>
      </c>
      <c r="G188">
        <v>5674.4660000000003</v>
      </c>
      <c r="H188">
        <v>4981</v>
      </c>
      <c r="I188">
        <v>4858.9159114949998</v>
      </c>
      <c r="J188">
        <v>3941.0907510175002</v>
      </c>
      <c r="K188">
        <v>5780.4215877414999</v>
      </c>
      <c r="L188">
        <v>4158.6596480658</v>
      </c>
      <c r="M188">
        <v>700.25626342919998</v>
      </c>
      <c r="N188">
        <v>17.79</v>
      </c>
      <c r="O188">
        <v>4308.6261000000004</v>
      </c>
      <c r="P188">
        <v>6173.3738999999996</v>
      </c>
      <c r="Q188">
        <f t="shared" si="8"/>
        <v>499.0600000000004</v>
      </c>
      <c r="R188">
        <f t="shared" si="9"/>
        <v>9.5222285823316238E-2</v>
      </c>
      <c r="S188">
        <f t="shared" si="10"/>
        <v>382.08408850500018</v>
      </c>
      <c r="T188">
        <f t="shared" si="11"/>
        <v>7.2902898016599924E-2</v>
      </c>
    </row>
    <row r="189" spans="1:20" x14ac:dyDescent="0.3">
      <c r="A189" s="2">
        <v>45870</v>
      </c>
      <c r="B189" t="s">
        <v>30</v>
      </c>
      <c r="C189">
        <v>4641</v>
      </c>
      <c r="D189">
        <v>3872.39</v>
      </c>
      <c r="E189">
        <v>3396.13</v>
      </c>
      <c r="F189">
        <v>3741.1979229632998</v>
      </c>
      <c r="G189">
        <v>4480.2219999999998</v>
      </c>
      <c r="H189">
        <v>3634.26</v>
      </c>
      <c r="I189">
        <v>3741.1979229632998</v>
      </c>
      <c r="J189">
        <v>2823.6674341663002</v>
      </c>
      <c r="K189">
        <v>4685.3023078770002</v>
      </c>
      <c r="L189">
        <v>4127.6153651892</v>
      </c>
      <c r="M189">
        <v>-386.4174422259</v>
      </c>
      <c r="N189">
        <v>17.79</v>
      </c>
      <c r="O189">
        <v>3815.3661000000002</v>
      </c>
      <c r="P189">
        <v>5466.6338999999998</v>
      </c>
      <c r="Q189">
        <f t="shared" si="8"/>
        <v>1244.8699999999999</v>
      </c>
      <c r="R189">
        <f t="shared" si="9"/>
        <v>0.26823313940960997</v>
      </c>
      <c r="S189">
        <f t="shared" si="10"/>
        <v>899.80207703670021</v>
      </c>
      <c r="T189">
        <f t="shared" si="11"/>
        <v>0.19388107671551394</v>
      </c>
    </row>
    <row r="190" spans="1:20" x14ac:dyDescent="0.3">
      <c r="A190" s="2">
        <v>45901</v>
      </c>
      <c r="B190" t="s">
        <v>30</v>
      </c>
      <c r="C190">
        <v>3874</v>
      </c>
      <c r="D190">
        <v>3964.59</v>
      </c>
      <c r="E190">
        <v>4241.49</v>
      </c>
      <c r="F190">
        <v>3855.2063651144999</v>
      </c>
      <c r="G190">
        <v>4461.1000000000004</v>
      </c>
      <c r="H190">
        <v>4103.04</v>
      </c>
      <c r="I190">
        <v>3855.2063651144999</v>
      </c>
      <c r="J190">
        <v>2867.4925791627002</v>
      </c>
      <c r="K190">
        <v>4827.5764874303004</v>
      </c>
      <c r="L190">
        <v>4096.5710823126001</v>
      </c>
      <c r="M190">
        <v>-241.36471719799999</v>
      </c>
      <c r="N190">
        <v>17.79</v>
      </c>
      <c r="O190">
        <v>3184.8154</v>
      </c>
      <c r="P190">
        <v>4563.1845999999996</v>
      </c>
      <c r="Q190">
        <f t="shared" si="8"/>
        <v>-367.48999999999978</v>
      </c>
      <c r="R190">
        <f t="shared" si="9"/>
        <v>-9.486060918946819E-2</v>
      </c>
      <c r="S190">
        <f t="shared" si="10"/>
        <v>18.793634885500069</v>
      </c>
      <c r="T190">
        <f t="shared" si="11"/>
        <v>4.8512222213474626E-3</v>
      </c>
    </row>
    <row r="191" spans="1:20" x14ac:dyDescent="0.3">
      <c r="A191" s="2">
        <v>45931</v>
      </c>
      <c r="B191" t="s">
        <v>30</v>
      </c>
      <c r="C191">
        <v>5403</v>
      </c>
      <c r="E191">
        <v>4359.54</v>
      </c>
      <c r="F191">
        <v>4648.7516266209004</v>
      </c>
      <c r="G191">
        <v>5745.0649999999996</v>
      </c>
      <c r="H191">
        <v>5547.6850000000004</v>
      </c>
      <c r="I191">
        <v>4648.7516266209004</v>
      </c>
      <c r="J191">
        <v>3654.0016125719999</v>
      </c>
      <c r="K191">
        <v>5647.1572701735004</v>
      </c>
      <c r="L191">
        <v>4066.5282279158</v>
      </c>
      <c r="M191">
        <v>582.22339870509995</v>
      </c>
      <c r="N191">
        <v>17.79</v>
      </c>
      <c r="O191">
        <v>4441.8063000000002</v>
      </c>
      <c r="P191">
        <v>6364.1936999999998</v>
      </c>
      <c r="Q191">
        <f t="shared" si="8"/>
        <v>1043.46</v>
      </c>
      <c r="R191">
        <f t="shared" si="9"/>
        <v>0.19312604108828429</v>
      </c>
      <c r="S191">
        <f t="shared" si="10"/>
        <v>754.24837337909958</v>
      </c>
      <c r="T191">
        <f t="shared" si="11"/>
        <v>0.13959807021637971</v>
      </c>
    </row>
    <row r="192" spans="1:20" x14ac:dyDescent="0.3">
      <c r="A192" s="2">
        <v>45962</v>
      </c>
      <c r="B192" t="s">
        <v>30</v>
      </c>
      <c r="C192">
        <v>3415</v>
      </c>
      <c r="E192">
        <v>3881.19</v>
      </c>
      <c r="F192">
        <v>4603.1384891365997</v>
      </c>
      <c r="G192">
        <v>5382.6075000000001</v>
      </c>
      <c r="H192">
        <v>4829.68</v>
      </c>
      <c r="I192">
        <v>4603.1384891365997</v>
      </c>
      <c r="J192">
        <v>3713.4381120282001</v>
      </c>
      <c r="K192">
        <v>5449.7822053208001</v>
      </c>
      <c r="L192">
        <v>4035.4839450392001</v>
      </c>
      <c r="M192">
        <v>567.65454409740005</v>
      </c>
      <c r="N192">
        <v>17.79</v>
      </c>
      <c r="O192">
        <v>2807.4715000000001</v>
      </c>
      <c r="P192">
        <v>4022.5284999999999</v>
      </c>
      <c r="Q192">
        <f t="shared" si="8"/>
        <v>-466.19000000000005</v>
      </c>
      <c r="R192">
        <f t="shared" si="9"/>
        <v>-0.13651244509516838</v>
      </c>
      <c r="S192">
        <f t="shared" si="10"/>
        <v>-1188.1384891365997</v>
      </c>
      <c r="T192">
        <f t="shared" si="11"/>
        <v>-0.34791756636503651</v>
      </c>
    </row>
    <row r="193" spans="1:20" x14ac:dyDescent="0.3">
      <c r="A193" s="2">
        <v>45992</v>
      </c>
      <c r="B193" t="s">
        <v>30</v>
      </c>
      <c r="C193">
        <v>5857</v>
      </c>
      <c r="E193">
        <v>4557.76</v>
      </c>
      <c r="F193">
        <v>4563.7586369561004</v>
      </c>
      <c r="G193">
        <v>5518.7</v>
      </c>
      <c r="H193">
        <v>5546.72</v>
      </c>
      <c r="I193">
        <v>4563.7586369561004</v>
      </c>
      <c r="J193">
        <v>3565.9821156497001</v>
      </c>
      <c r="K193">
        <v>5516.6877364144002</v>
      </c>
      <c r="L193">
        <v>4005.4410906424</v>
      </c>
      <c r="M193">
        <v>558.31754631369995</v>
      </c>
      <c r="N193">
        <v>17.79</v>
      </c>
      <c r="O193">
        <v>4815.0397000000003</v>
      </c>
      <c r="P193">
        <v>6898.9602999999997</v>
      </c>
      <c r="Q193">
        <f t="shared" si="8"/>
        <v>1299.2399999999998</v>
      </c>
      <c r="R193">
        <f t="shared" si="9"/>
        <v>0.22182687382619085</v>
      </c>
      <c r="S193">
        <f t="shared" si="10"/>
        <v>1293.2413630438996</v>
      </c>
      <c r="T193">
        <f t="shared" si="11"/>
        <v>0.22080269131703936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Moreira Nascimento</cp:lastModifiedBy>
  <dcterms:created xsi:type="dcterms:W3CDTF">2025-11-07T12:35:41Z</dcterms:created>
  <dcterms:modified xsi:type="dcterms:W3CDTF">2025-11-11T08:46:57Z</dcterms:modified>
</cp:coreProperties>
</file>